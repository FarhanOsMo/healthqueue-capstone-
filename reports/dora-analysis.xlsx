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isha\Videos\Farhan Dump\DevOps\Assignment 7\healthqueue-capstone-\reports\"/>
    </mc:Choice>
  </mc:AlternateContent>
  <xr:revisionPtr revIDLastSave="0" documentId="13_ncr:1_{E450AD4B-C543-4304-A2BC-7D508C8EF91E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ummary" sheetId="1" r:id="rId1"/>
    <sheet name="Raw_Data" sheetId="2" r:id="rId2"/>
    <sheet name="Metrics" sheetId="3" r:id="rId3"/>
    <sheet name="Weekly_Trend" sheetId="4" r:id="rId4"/>
    <sheet name="Benchmarks" sheetId="5" r:id="rId5"/>
    <sheet name="Failure_Analysis" sheetId="6" r:id="rId6"/>
    <sheet name="Toil_Reduction" sheetId="7" r:id="rId7"/>
    <sheet name="Definitions" sheetId="8" r:id="rId8"/>
    <sheet name="Checks" sheetId="9" r:id="rId9"/>
  </sheets>
  <definedNames>
    <definedName name="_xlnm._FilterDatabase" localSheetId="1" hidden="1">Raw_Data!$A$1:$R$125</definedName>
    <definedName name="ChangeFailed">Raw_Data!$L$2:$L$125</definedName>
    <definedName name="DeployDate">Raw_Data!$C$2:$C$125</definedName>
    <definedName name="DeploymentId">Raw_Data!$A$2:$A$125</definedName>
    <definedName name="FailureCategory">Raw_Data!$M$2:$M$125</definedName>
    <definedName name="LeadTimeHours">Raw_Data!$K$2:$K$125</definedName>
    <definedName name="Phase">Raw_Data!$D$2:$D$125</definedName>
    <definedName name="RecoveryMinutes">Raw_Data!$P$2:$P$125</definedName>
    <definedName name="Remediation">Raw_Data!$Q$2:$Q$125</definedName>
    <definedName name="ToilMinutes">Raw_Data!$R$2:$R$125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9" l="1"/>
  <c r="D43" i="9" s="1"/>
  <c r="E43" i="9" s="1"/>
  <c r="B42" i="9"/>
  <c r="D42" i="9" s="1"/>
  <c r="E42" i="9" s="1"/>
  <c r="D15" i="6"/>
  <c r="C15" i="6" a="1"/>
  <c r="C15" i="6" s="1"/>
  <c r="B15" i="6"/>
  <c r="D14" i="6"/>
  <c r="C14" i="6" a="1"/>
  <c r="C14" i="6" s="1"/>
  <c r="B14" i="6"/>
  <c r="D13" i="6"/>
  <c r="C13" i="6" a="1"/>
  <c r="C13" i="6" s="1"/>
  <c r="B13" i="6"/>
  <c r="D12" i="6"/>
  <c r="C12" i="6" a="1"/>
  <c r="C12" i="6" s="1"/>
  <c r="B12" i="6"/>
  <c r="D8" i="6" a="1"/>
  <c r="D8" i="6" s="1"/>
  <c r="B8" i="6"/>
  <c r="D7" i="6" a="1"/>
  <c r="D7" i="6" s="1"/>
  <c r="B7" i="6"/>
  <c r="D6" i="6" a="1"/>
  <c r="D6" i="6" s="1"/>
  <c r="B6" i="6"/>
  <c r="D5" i="6" a="1"/>
  <c r="D5" i="6" s="1"/>
  <c r="B5" i="6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F16" i="3"/>
  <c r="E16" i="3"/>
  <c r="D16" i="3"/>
  <c r="C16" i="3"/>
  <c r="F15" i="3"/>
  <c r="B40" i="9" s="1"/>
  <c r="D40" i="9" s="1"/>
  <c r="E40" i="9" s="1"/>
  <c r="E15" i="3"/>
  <c r="B31" i="9" s="1"/>
  <c r="D31" i="9" s="1"/>
  <c r="E31" i="9" s="1"/>
  <c r="D15" i="3"/>
  <c r="B22" i="9" s="1"/>
  <c r="D22" i="9" s="1"/>
  <c r="E22" i="9" s="1"/>
  <c r="C15" i="3"/>
  <c r="B13" i="9" s="1"/>
  <c r="D13" i="9" s="1"/>
  <c r="E13" i="9" s="1"/>
  <c r="F14" i="3" a="1"/>
  <c r="F14" i="3" s="1"/>
  <c r="E14" i="3" a="1"/>
  <c r="E14" i="3" s="1"/>
  <c r="D14" i="3" a="1"/>
  <c r="D14" i="3" s="1"/>
  <c r="C14" i="3" a="1"/>
  <c r="C14" i="3" s="1"/>
  <c r="F12" i="3"/>
  <c r="E12" i="3"/>
  <c r="D12" i="3"/>
  <c r="C12" i="3"/>
  <c r="F11" i="3" a="1"/>
  <c r="F11" i="3" s="1"/>
  <c r="B36" i="9" s="1"/>
  <c r="D36" i="9" s="1"/>
  <c r="E36" i="9" s="1"/>
  <c r="E11" i="3" a="1"/>
  <c r="E11" i="3" s="1"/>
  <c r="B27" i="9" s="1"/>
  <c r="D27" i="9" s="1"/>
  <c r="E27" i="9" s="1"/>
  <c r="D11" i="3" a="1"/>
  <c r="D11" i="3" s="1"/>
  <c r="B18" i="9" s="1"/>
  <c r="D18" i="9" s="1"/>
  <c r="E18" i="9" s="1"/>
  <c r="C11" i="3"/>
  <c r="B9" i="9" s="1"/>
  <c r="D9" i="9" s="1"/>
  <c r="E9" i="9" s="1"/>
  <c r="F10" i="3" a="1"/>
  <c r="F10" i="3" s="1"/>
  <c r="E10" i="3" a="1"/>
  <c r="E10" i="3" s="1"/>
  <c r="D10" i="3" a="1"/>
  <c r="D10" i="3" s="1"/>
  <c r="C10" i="3"/>
  <c r="F7" i="3"/>
  <c r="F8" i="3" s="1"/>
  <c r="E7" i="3"/>
  <c r="D7" i="3"/>
  <c r="C7" i="3"/>
  <c r="C7" i="6" l="1"/>
  <c r="C8" i="6"/>
  <c r="C6" i="6"/>
  <c r="C5" i="6"/>
  <c r="C18" i="4"/>
  <c r="D18" i="4" s="1"/>
  <c r="C17" i="4"/>
  <c r="C16" i="4"/>
  <c r="D16" i="4"/>
  <c r="F16" i="4"/>
  <c r="I16" i="4" s="1" a="1"/>
  <c r="I16" i="4" s="1"/>
  <c r="C15" i="4"/>
  <c r="C14" i="4"/>
  <c r="F14" i="4" s="1"/>
  <c r="I14" i="4" s="1" a="1"/>
  <c r="I14" i="4" s="1"/>
  <c r="D14" i="4"/>
  <c r="H14" i="4" a="1"/>
  <c r="H14" i="4" s="1"/>
  <c r="J14" i="4"/>
  <c r="C13" i="4"/>
  <c r="C12" i="4"/>
  <c r="D12" i="4"/>
  <c r="F12" i="4"/>
  <c r="I12" i="4" s="1" a="1"/>
  <c r="I12" i="4" s="1"/>
  <c r="J12" i="4"/>
  <c r="H12" i="4" a="1"/>
  <c r="H12" i="4" s="1"/>
  <c r="C11" i="4"/>
  <c r="H10" i="4" a="1"/>
  <c r="H10" i="4" s="1"/>
  <c r="C10" i="4"/>
  <c r="J10" i="4" s="1"/>
  <c r="C9" i="4"/>
  <c r="J9" i="4"/>
  <c r="C8" i="4"/>
  <c r="F8" i="4"/>
  <c r="I8" i="4" s="1" a="1"/>
  <c r="I8" i="4" s="1"/>
  <c r="C7" i="4"/>
  <c r="D7" i="4"/>
  <c r="C6" i="4"/>
  <c r="J6" i="4" s="1"/>
  <c r="D6" i="4"/>
  <c r="F6" i="4"/>
  <c r="I6" i="4" s="1" a="1"/>
  <c r="I6" i="4" s="1"/>
  <c r="H6" i="4" a="1"/>
  <c r="H6" i="4" s="1"/>
  <c r="B41" i="9"/>
  <c r="D41" i="9" s="1"/>
  <c r="E41" i="9" s="1"/>
  <c r="F17" i="3"/>
  <c r="D7" i="7" s="1"/>
  <c r="D6" i="7"/>
  <c r="C6" i="7"/>
  <c r="B32" i="9"/>
  <c r="D32" i="9" s="1"/>
  <c r="E32" i="9" s="1"/>
  <c r="E17" i="3"/>
  <c r="C7" i="7" s="1"/>
  <c r="D17" i="3"/>
  <c r="B7" i="7" s="1"/>
  <c r="B23" i="9"/>
  <c r="D23" i="9" s="1"/>
  <c r="E23" i="9" s="1"/>
  <c r="B6" i="7"/>
  <c r="B14" i="9"/>
  <c r="D14" i="9" s="1"/>
  <c r="E14" i="9" s="1"/>
  <c r="C17" i="3"/>
  <c r="E26" i="5"/>
  <c r="D9" i="7"/>
  <c r="B39" i="9"/>
  <c r="D39" i="9" s="1"/>
  <c r="E39" i="9" s="1"/>
  <c r="F9" i="1"/>
  <c r="C9" i="7"/>
  <c r="B30" i="9"/>
  <c r="D30" i="9" s="1"/>
  <c r="E30" i="9" s="1"/>
  <c r="D26" i="5"/>
  <c r="D27" i="5" s="1"/>
  <c r="C26" i="5"/>
  <c r="C27" i="5" s="1"/>
  <c r="B9" i="7"/>
  <c r="B21" i="9"/>
  <c r="D21" i="9" s="1"/>
  <c r="E21" i="9" s="1"/>
  <c r="B26" i="5"/>
  <c r="B12" i="9"/>
  <c r="D12" i="9" s="1"/>
  <c r="E12" i="9" s="1"/>
  <c r="F13" i="3"/>
  <c r="B37" i="9"/>
  <c r="D37" i="9" s="1"/>
  <c r="E37" i="9" s="1"/>
  <c r="E13" i="3"/>
  <c r="B28" i="9"/>
  <c r="D28" i="9" s="1"/>
  <c r="E28" i="9" s="1"/>
  <c r="B19" i="9"/>
  <c r="D19" i="9" s="1"/>
  <c r="E19" i="9" s="1"/>
  <c r="D13" i="3"/>
  <c r="C13" i="3"/>
  <c r="B10" i="9"/>
  <c r="D10" i="9" s="1"/>
  <c r="E10" i="9" s="1"/>
  <c r="E22" i="5"/>
  <c r="D8" i="7"/>
  <c r="B35" i="9"/>
  <c r="D35" i="9" s="1"/>
  <c r="E35" i="9" s="1"/>
  <c r="F7" i="1"/>
  <c r="D22" i="5"/>
  <c r="D23" i="5" s="1"/>
  <c r="C8" i="7"/>
  <c r="B26" i="9"/>
  <c r="D26" i="9" s="1"/>
  <c r="E26" i="9" s="1"/>
  <c r="C22" i="5"/>
  <c r="C23" i="5" s="1"/>
  <c r="B8" i="7"/>
  <c r="B17" i="9"/>
  <c r="D17" i="9" s="1"/>
  <c r="E17" i="9" s="1"/>
  <c r="B8" i="9"/>
  <c r="D8" i="9" s="1"/>
  <c r="E8" i="9" s="1"/>
  <c r="B22" i="5"/>
  <c r="B34" i="9"/>
  <c r="D34" i="9" s="1"/>
  <c r="E34" i="9" s="1"/>
  <c r="E20" i="5"/>
  <c r="F9" i="3"/>
  <c r="D5" i="7"/>
  <c r="B33" i="9"/>
  <c r="D33" i="9" s="1"/>
  <c r="E33" i="9" s="1"/>
  <c r="C5" i="7"/>
  <c r="E8" i="3"/>
  <c r="B24" i="9"/>
  <c r="D24" i="9" s="1"/>
  <c r="E24" i="9" s="1"/>
  <c r="B15" i="9"/>
  <c r="D15" i="9" s="1"/>
  <c r="E15" i="9" s="1"/>
  <c r="B5" i="7"/>
  <c r="D8" i="3"/>
  <c r="F6" i="1" s="1"/>
  <c r="B6" i="9"/>
  <c r="D6" i="9" s="1"/>
  <c r="E6" i="9" s="1"/>
  <c r="C8" i="3"/>
  <c r="J17" i="4" l="1"/>
  <c r="H17" i="4" a="1"/>
  <c r="H17" i="4" s="1"/>
  <c r="D17" i="4"/>
  <c r="F17" i="4"/>
  <c r="J8" i="4"/>
  <c r="H8" i="4" a="1"/>
  <c r="H8" i="4" s="1"/>
  <c r="D8" i="4"/>
  <c r="F18" i="4"/>
  <c r="I18" i="4" s="1" a="1"/>
  <c r="I18" i="4" s="1"/>
  <c r="H18" i="4" a="1"/>
  <c r="H18" i="4" s="1"/>
  <c r="J18" i="4"/>
  <c r="E18" i="4"/>
  <c r="G18" i="4"/>
  <c r="E17" i="4"/>
  <c r="E16" i="4"/>
  <c r="G16" i="4"/>
  <c r="H15" i="4" a="1"/>
  <c r="H15" i="4" s="1"/>
  <c r="J15" i="4"/>
  <c r="E14" i="4"/>
  <c r="G14" i="4"/>
  <c r="E12" i="4"/>
  <c r="G12" i="4"/>
  <c r="E8" i="4"/>
  <c r="G8" i="4"/>
  <c r="H7" i="4" a="1"/>
  <c r="H7" i="4" s="1"/>
  <c r="J7" i="4"/>
  <c r="F7" i="4"/>
  <c r="E7" i="4"/>
  <c r="E6" i="4"/>
  <c r="G6" i="4"/>
  <c r="B44" i="9"/>
  <c r="D44" i="9" s="1"/>
  <c r="E44" i="9" s="1"/>
  <c r="E27" i="5"/>
  <c r="E9" i="1" s="1"/>
  <c r="D9" i="1"/>
  <c r="B27" i="5"/>
  <c r="C9" i="1" s="1"/>
  <c r="B9" i="1"/>
  <c r="E24" i="5"/>
  <c r="B38" i="9"/>
  <c r="D38" i="9" s="1"/>
  <c r="E38" i="9" s="1"/>
  <c r="F8" i="1"/>
  <c r="D24" i="5"/>
  <c r="D25" i="5" s="1"/>
  <c r="B29" i="9"/>
  <c r="D29" i="9" s="1"/>
  <c r="E29" i="9" s="1"/>
  <c r="C24" i="5"/>
  <c r="C25" i="5" s="1"/>
  <c r="B20" i="9"/>
  <c r="D20" i="9" s="1"/>
  <c r="E20" i="9" s="1"/>
  <c r="A13" i="1"/>
  <c r="B24" i="5"/>
  <c r="B11" i="9"/>
  <c r="D11" i="9" s="1"/>
  <c r="E11" i="9" s="1"/>
  <c r="E23" i="5"/>
  <c r="E7" i="1" s="1"/>
  <c r="D7" i="1"/>
  <c r="B23" i="5"/>
  <c r="C7" i="1" s="1"/>
  <c r="B7" i="1"/>
  <c r="E21" i="5"/>
  <c r="E6" i="1" s="1"/>
  <c r="D6" i="1"/>
  <c r="E9" i="3"/>
  <c r="D20" i="5"/>
  <c r="D21" i="5" s="1"/>
  <c r="B25" i="9"/>
  <c r="D25" i="9" s="1"/>
  <c r="E25" i="9" s="1"/>
  <c r="D9" i="3"/>
  <c r="C20" i="5"/>
  <c r="C21" i="5" s="1"/>
  <c r="B16" i="9"/>
  <c r="D16" i="9" s="1"/>
  <c r="E16" i="9" s="1"/>
  <c r="A12" i="1"/>
  <c r="C9" i="3"/>
  <c r="B20" i="5"/>
  <c r="B7" i="9"/>
  <c r="D7" i="9" s="1"/>
  <c r="E7" i="9" s="1"/>
  <c r="C10" i="7"/>
  <c r="D11" i="7"/>
  <c r="D10" i="7"/>
  <c r="A14" i="1" s="1"/>
  <c r="H16" i="4" a="1"/>
  <c r="H16" i="4" s="1"/>
  <c r="J16" i="4"/>
  <c r="D15" i="4"/>
  <c r="F15" i="4"/>
  <c r="I15" i="4" s="1" a="1"/>
  <c r="I15" i="4" s="1"/>
  <c r="D13" i="4"/>
  <c r="F13" i="4"/>
  <c r="I13" i="4" s="1" a="1"/>
  <c r="I13" i="4" s="1"/>
  <c r="H13" i="4" a="1"/>
  <c r="H13" i="4" s="1"/>
  <c r="J13" i="4"/>
  <c r="J11" i="4"/>
  <c r="F11" i="4"/>
  <c r="I11" i="4" s="1" a="1"/>
  <c r="I11" i="4" s="1"/>
  <c r="H11" i="4" a="1"/>
  <c r="H11" i="4" s="1"/>
  <c r="D11" i="4"/>
  <c r="F10" i="4"/>
  <c r="I10" i="4" s="1" a="1"/>
  <c r="I10" i="4" s="1"/>
  <c r="D10" i="4"/>
  <c r="H9" i="4" a="1"/>
  <c r="H9" i="4" s="1"/>
  <c r="F9" i="4"/>
  <c r="I9" i="4" s="1" a="1"/>
  <c r="I9" i="4" s="1"/>
  <c r="D9" i="4"/>
  <c r="B45" i="9" s="1"/>
  <c r="D45" i="9" s="1"/>
  <c r="E45" i="9" s="1"/>
  <c r="I17" i="4" l="1" a="1"/>
  <c r="I17" i="4" s="1"/>
  <c r="G17" i="4"/>
  <c r="D8" i="1"/>
  <c r="E25" i="5"/>
  <c r="E8" i="1" s="1"/>
  <c r="B25" i="5"/>
  <c r="C8" i="1" s="1"/>
  <c r="B8" i="1"/>
  <c r="B21" i="5"/>
  <c r="B6" i="1"/>
  <c r="G15" i="4"/>
  <c r="E15" i="4"/>
  <c r="G13" i="4"/>
  <c r="E13" i="4"/>
  <c r="G11" i="4"/>
  <c r="E11" i="4"/>
  <c r="G10" i="4"/>
  <c r="E10" i="4"/>
  <c r="G9" i="4"/>
  <c r="E9" i="4"/>
  <c r="I7" i="4" a="1"/>
  <c r="I7" i="4" s="1"/>
  <c r="G7" i="4"/>
  <c r="B46" i="9" l="1"/>
  <c r="D46" i="9" s="1"/>
  <c r="E46" i="9" s="1"/>
  <c r="B3" i="9" s="1"/>
  <c r="C24" i="1" s="1"/>
  <c r="C6" i="1"/>
</calcChain>
</file>

<file path=xl/sharedStrings.xml><?xml version="1.0" encoding="utf-8"?>
<sst xmlns="http://schemas.openxmlformats.org/spreadsheetml/2006/main" count="1094" uniqueCount="519">
  <si>
    <t>HealthQueue DORA Metrics Analysis</t>
  </si>
  <si>
    <t>90-day window 01 Jul 2026 - 28 Sep 2026. Built by scripts/build_dora_workbook.py.</t>
  </si>
  <si>
    <t>SYNTHETIC DATA - simulated deployment records for the assignment. Not real HealthQueue production performance.</t>
  </si>
  <si>
    <t>DORA metric</t>
  </si>
  <si>
    <t>Overall (90 d)</t>
  </si>
  <si>
    <t>Cluster</t>
  </si>
  <si>
    <t>Last 30 d (3-GitOps)</t>
  </si>
  <si>
    <t>Trend vs. phase 1</t>
  </si>
  <si>
    <t>Deployment frequency (deploys/day)</t>
  </si>
  <si>
    <t>Change lead time (median h)</t>
  </si>
  <si>
    <t>Change failure rate</t>
  </si>
  <si>
    <t>Recovery time (median min)</t>
  </si>
  <si>
    <t>Key findings</t>
  </si>
  <si>
    <t>4. Biggest failure sources: configuration error and dependency / migration (each 5 of 14 failures, tied). Target them with policy-as-code checks on manifests/config and migration tests before merge (see Failure_Analysis).</t>
  </si>
  <si>
    <t>5. Caveat: phase 2 shows a lower failure rate than phase 3 - with ~30-60 deployments per phase that difference is within random noise; do not over-read single-phase changes.</t>
  </si>
  <si>
    <t>Recommendations (each tied to a metric)</t>
  </si>
  <si>
    <t>Deployment frequency -&gt; keep changes small; auto-merge digest-bump PRs once Cosign signature and SLSA provenance verify (removes the last manual hand-off).</t>
  </si>
  <si>
    <t>Lead time -&gt; small PRs, trunk-based development and a PR review SLA; the p90 lead time (Metrics row 11) is several times the median, so the slowest changes - not the typical one - are the next target.</t>
  </si>
  <si>
    <t>Change failure rate -&gt; policy-as-code on manifests/config and automated migration tests (the two largest failure categories); canary releases with Argo Rollouts gated on the SLO metrics.</t>
  </si>
  <si>
    <t>Recovery time -&gt; make git-revert rollback the default remediation (fastest in Failure_Analysis); trigger it from the fast-burn SLO alert runbook.</t>
  </si>
  <si>
    <t>Independent calculation checks</t>
  </si>
  <si>
    <t>deployment_id</t>
  </si>
  <si>
    <t>deployed_at_utc</t>
  </si>
  <si>
    <t>deploy_date</t>
  </si>
  <si>
    <t>phase</t>
  </si>
  <si>
    <t>deploy_method</t>
  </si>
  <si>
    <t>service</t>
  </si>
  <si>
    <t>environment</t>
  </si>
  <si>
    <t>commit_sha</t>
  </si>
  <si>
    <t>pr_number</t>
  </si>
  <si>
    <t>first_commit_at_utc</t>
  </si>
  <si>
    <t>lead_time_hours</t>
  </si>
  <si>
    <t>change_failed</t>
  </si>
  <si>
    <t>failure_category</t>
  </si>
  <si>
    <t>incident_id</t>
  </si>
  <si>
    <t>restored_at_utc</t>
  </si>
  <si>
    <t>recovery_minutes</t>
  </si>
  <si>
    <t>remediation</t>
  </si>
  <si>
    <t>manual_toil_minutes</t>
  </si>
  <si>
    <t>DEP-0001</t>
  </si>
  <si>
    <t>1-Manual</t>
  </si>
  <si>
    <t>manual_script</t>
  </si>
  <si>
    <t>healthqueue-api</t>
  </si>
  <si>
    <t>production (synthetic)</t>
  </si>
  <si>
    <t>08c177db2761</t>
  </si>
  <si>
    <t>DEP-0002</t>
  </si>
  <si>
    <t>8555b8a3db44</t>
  </si>
  <si>
    <t>DEP-0003</t>
  </si>
  <si>
    <t>9d8c8e1a4fae</t>
  </si>
  <si>
    <t>configuration error</t>
  </si>
  <si>
    <t>INC-001</t>
  </si>
  <si>
    <t>hotfix</t>
  </si>
  <si>
    <t>DEP-0004</t>
  </si>
  <si>
    <t>eb7d33fa01e7</t>
  </si>
  <si>
    <t>DEP-0005</t>
  </si>
  <si>
    <t>c33e1c643710</t>
  </si>
  <si>
    <t>DEP-0006</t>
  </si>
  <si>
    <t>fcb580aeda6d</t>
  </si>
  <si>
    <t>DEP-0007</t>
  </si>
  <si>
    <t>8269fc99dbee</t>
  </si>
  <si>
    <t>DEP-0008</t>
  </si>
  <si>
    <t>5c25619cb973</t>
  </si>
  <si>
    <t>DEP-0009</t>
  </si>
  <si>
    <t>ec5a6ea4e757</t>
  </si>
  <si>
    <t>DEP-0010</t>
  </si>
  <si>
    <t>d409e92a3e31</t>
  </si>
  <si>
    <t>DEP-0011</t>
  </si>
  <si>
    <t>1be300f59a20</t>
  </si>
  <si>
    <t>dependency / migration</t>
  </si>
  <si>
    <t>INC-002</t>
  </si>
  <si>
    <t>manual rollback</t>
  </si>
  <si>
    <t>DEP-0012</t>
  </si>
  <si>
    <t>223146d9aa0c</t>
  </si>
  <si>
    <t>DEP-0013</t>
  </si>
  <si>
    <t>4539b0681d9b</t>
  </si>
  <si>
    <t>DEP-0014</t>
  </si>
  <si>
    <t>3a7eb4f41dd8</t>
  </si>
  <si>
    <t>DEP-0015</t>
  </si>
  <si>
    <t>33eea2a25ffc</t>
  </si>
  <si>
    <t>DEP-0016</t>
  </si>
  <si>
    <t>22ef8c1e2861</t>
  </si>
  <si>
    <t>INC-003</t>
  </si>
  <si>
    <t>DEP-0017</t>
  </si>
  <si>
    <t>1e46ad7bed18</t>
  </si>
  <si>
    <t>INC-004</t>
  </si>
  <si>
    <t>DEP-0018</t>
  </si>
  <si>
    <t>3c9c1f284239</t>
  </si>
  <si>
    <t>DEP-0019</t>
  </si>
  <si>
    <t>6c42eb0a2265</t>
  </si>
  <si>
    <t>application bug (5xx)</t>
  </si>
  <si>
    <t>INC-005</t>
  </si>
  <si>
    <t>DEP-0020</t>
  </si>
  <si>
    <t>776eaba51cc5</t>
  </si>
  <si>
    <t>DEP-0021</t>
  </si>
  <si>
    <t>2c89400b1845</t>
  </si>
  <si>
    <t>DEP-0022</t>
  </si>
  <si>
    <t>a5ba4643b1fa</t>
  </si>
  <si>
    <t>DEP-0023</t>
  </si>
  <si>
    <t>d15ebfe9cc59</t>
  </si>
  <si>
    <t>DEP-0024</t>
  </si>
  <si>
    <t>367dc28cff12</t>
  </si>
  <si>
    <t>DEP-0025</t>
  </si>
  <si>
    <t>1a83472bf931</t>
  </si>
  <si>
    <t>DEP-0026</t>
  </si>
  <si>
    <t>cd502b24776a</t>
  </si>
  <si>
    <t>INC-006</t>
  </si>
  <si>
    <t>DEP-0027</t>
  </si>
  <si>
    <t>0c52133a221e</t>
  </si>
  <si>
    <t>INC-007</t>
  </si>
  <si>
    <t>DEP-0028</t>
  </si>
  <si>
    <t>b6c20ab37fef</t>
  </si>
  <si>
    <t>DEP-0029</t>
  </si>
  <si>
    <t>efcb8fbacb9f</t>
  </si>
  <si>
    <t>DEP-0030</t>
  </si>
  <si>
    <t>2-CI</t>
  </si>
  <si>
    <t>ci_pipeline_manual_deploy</t>
  </si>
  <si>
    <t>21852890392a</t>
  </si>
  <si>
    <t>DEP-0031</t>
  </si>
  <si>
    <t>4f0c58a6afb9</t>
  </si>
  <si>
    <t>DEP-0032</t>
  </si>
  <si>
    <t>3e8bee7168a0</t>
  </si>
  <si>
    <t>DEP-0033</t>
  </si>
  <si>
    <t>6166bc3dab0f</t>
  </si>
  <si>
    <t>DEP-0034</t>
  </si>
  <si>
    <t>0c32f4178981</t>
  </si>
  <si>
    <t>INC-008</t>
  </si>
  <si>
    <t>DEP-0035</t>
  </si>
  <si>
    <t>8b9fbe1acea0</t>
  </si>
  <si>
    <t>DEP-0036</t>
  </si>
  <si>
    <t>641392c4773a</t>
  </si>
  <si>
    <t>DEP-0037</t>
  </si>
  <si>
    <t>8f146b1bff65</t>
  </si>
  <si>
    <t>DEP-0038</t>
  </si>
  <si>
    <t>a092bfc5d7b7</t>
  </si>
  <si>
    <t>DEP-0039</t>
  </si>
  <si>
    <t>954d76e073ec</t>
  </si>
  <si>
    <t>DEP-0040</t>
  </si>
  <si>
    <t>930de8bec38e</t>
  </si>
  <si>
    <t>DEP-0041</t>
  </si>
  <si>
    <t>f1704c071257</t>
  </si>
  <si>
    <t>DEP-0042</t>
  </si>
  <si>
    <t>bf5d7e144786</t>
  </si>
  <si>
    <t>DEP-0043</t>
  </si>
  <si>
    <t>0cc6644194b1</t>
  </si>
  <si>
    <t>DEP-0044</t>
  </si>
  <si>
    <t>847ef9d9adac</t>
  </si>
  <si>
    <t>DEP-0045</t>
  </si>
  <si>
    <t>8fe7fd354a2b</t>
  </si>
  <si>
    <t>DEP-0046</t>
  </si>
  <si>
    <t>0e163e13a535</t>
  </si>
  <si>
    <t>DEP-0047</t>
  </si>
  <si>
    <t>b20dd8c54831</t>
  </si>
  <si>
    <t>DEP-0048</t>
  </si>
  <si>
    <t>9b5748c811fa</t>
  </si>
  <si>
    <t>DEP-0049</t>
  </si>
  <si>
    <t>6254c723462c</t>
  </si>
  <si>
    <t>DEP-0050</t>
  </si>
  <si>
    <t>ffa09fa91d03</t>
  </si>
  <si>
    <t>DEP-0051</t>
  </si>
  <si>
    <t>f135a0880ed0</t>
  </si>
  <si>
    <t>DEP-0052</t>
  </si>
  <si>
    <t>8f22adedeb7d</t>
  </si>
  <si>
    <t>DEP-0053</t>
  </si>
  <si>
    <t>0f91bcb32fad</t>
  </si>
  <si>
    <t>DEP-0054</t>
  </si>
  <si>
    <t>7ec697c62569</t>
  </si>
  <si>
    <t>DEP-0055</t>
  </si>
  <si>
    <t>78575e800320</t>
  </si>
  <si>
    <t>DEP-0056</t>
  </si>
  <si>
    <t>169789f4fb91</t>
  </si>
  <si>
    <t>INC-009</t>
  </si>
  <si>
    <t>roll forward</t>
  </si>
  <si>
    <t>DEP-0057</t>
  </si>
  <si>
    <t>ddbb96c13f44</t>
  </si>
  <si>
    <t>DEP-0058</t>
  </si>
  <si>
    <t>03bdafa89367</t>
  </si>
  <si>
    <t>DEP-0059</t>
  </si>
  <si>
    <t>4840ef0e0730</t>
  </si>
  <si>
    <t>DEP-0060</t>
  </si>
  <si>
    <t>0a136c8bef23</t>
  </si>
  <si>
    <t>DEP-0061</t>
  </si>
  <si>
    <t>636917338205</t>
  </si>
  <si>
    <t>DEP-0062</t>
  </si>
  <si>
    <t>5a1b7c912c79</t>
  </si>
  <si>
    <t>DEP-0063</t>
  </si>
  <si>
    <t>c73df6ea7f02</t>
  </si>
  <si>
    <t>DEP-0064</t>
  </si>
  <si>
    <t>3-GitOps</t>
  </si>
  <si>
    <t>gitops_argocd</t>
  </si>
  <si>
    <t>e783fc140179</t>
  </si>
  <si>
    <t>DEP-0065</t>
  </si>
  <si>
    <t>3675373188c8</t>
  </si>
  <si>
    <t>DEP-0066</t>
  </si>
  <si>
    <t>6134ba7d6084</t>
  </si>
  <si>
    <t>DEP-0067</t>
  </si>
  <si>
    <t>175e0650a843</t>
  </si>
  <si>
    <t>DEP-0068</t>
  </si>
  <si>
    <t>2c17b941c731</t>
  </si>
  <si>
    <t>DEP-0069</t>
  </si>
  <si>
    <t>0431d49158d9</t>
  </si>
  <si>
    <t>DEP-0070</t>
  </si>
  <si>
    <t>dc41b8efa29d</t>
  </si>
  <si>
    <t>DEP-0071</t>
  </si>
  <si>
    <t>1c4d5cca3700</t>
  </si>
  <si>
    <t>DEP-0072</t>
  </si>
  <si>
    <t>1e1b49e52210</t>
  </si>
  <si>
    <t>DEP-0073</t>
  </si>
  <si>
    <t>45b0599e0b34</t>
  </si>
  <si>
    <t>DEP-0074</t>
  </si>
  <si>
    <t>05fc6e71b188</t>
  </si>
  <si>
    <t>DEP-0075</t>
  </si>
  <si>
    <t>41c435c97f49</t>
  </si>
  <si>
    <t>DEP-0076</t>
  </si>
  <si>
    <t>5e68a6a5678a</t>
  </si>
  <si>
    <t>DEP-0077</t>
  </si>
  <si>
    <t>d3caacc4cffe</t>
  </si>
  <si>
    <t>DEP-0078</t>
  </si>
  <si>
    <t>b06efd0409b0</t>
  </si>
  <si>
    <t>DEP-0079</t>
  </si>
  <si>
    <t>9650eb1b1517</t>
  </si>
  <si>
    <t>DEP-0080</t>
  </si>
  <si>
    <t>343e2740a395</t>
  </si>
  <si>
    <t>DEP-0081</t>
  </si>
  <si>
    <t>a54bb75b3f64</t>
  </si>
  <si>
    <t>DEP-0082</t>
  </si>
  <si>
    <t>436aa4051cb6</t>
  </si>
  <si>
    <t>DEP-0083</t>
  </si>
  <si>
    <t>c0430e6bf64a</t>
  </si>
  <si>
    <t>DEP-0084</t>
  </si>
  <si>
    <t>da237cfe79f2</t>
  </si>
  <si>
    <t>DEP-0085</t>
  </si>
  <si>
    <t>4db4522147bd</t>
  </si>
  <si>
    <t>DEP-0086</t>
  </si>
  <si>
    <t>3130a8761843</t>
  </si>
  <si>
    <t>DEP-0087</t>
  </si>
  <si>
    <t>8855a51e1c11</t>
  </si>
  <si>
    <t>latency regression</t>
  </si>
  <si>
    <t>INC-010</t>
  </si>
  <si>
    <t>git revert (Argo CD sync)</t>
  </si>
  <si>
    <t>DEP-0088</t>
  </si>
  <si>
    <t>75552619e70a</t>
  </si>
  <si>
    <t>DEP-0089</t>
  </si>
  <si>
    <t>adbda459e398</t>
  </si>
  <si>
    <t>DEP-0090</t>
  </si>
  <si>
    <t>91df8b5c4a94</t>
  </si>
  <si>
    <t>DEP-0091</t>
  </si>
  <si>
    <t>978a0067dffd</t>
  </si>
  <si>
    <t>DEP-0092</t>
  </si>
  <si>
    <t>1a4d8ca20dab</t>
  </si>
  <si>
    <t>DEP-0093</t>
  </si>
  <si>
    <t>e5fede3f974a</t>
  </si>
  <si>
    <t>DEP-0094</t>
  </si>
  <si>
    <t>f20125dabc15</t>
  </si>
  <si>
    <t>INC-011</t>
  </si>
  <si>
    <t>DEP-0095</t>
  </si>
  <si>
    <t>4194b0f01e8f</t>
  </si>
  <si>
    <t>DEP-0096</t>
  </si>
  <si>
    <t>5ccf8544e12c</t>
  </si>
  <si>
    <t>INC-012</t>
  </si>
  <si>
    <t>DEP-0097</t>
  </si>
  <si>
    <t>957726243fde</t>
  </si>
  <si>
    <t>DEP-0098</t>
  </si>
  <si>
    <t>43d84245306d</t>
  </si>
  <si>
    <t>DEP-0099</t>
  </si>
  <si>
    <t>579647e35294</t>
  </si>
  <si>
    <t>DEP-0100</t>
  </si>
  <si>
    <t>71dd2bc814fb</t>
  </si>
  <si>
    <t>DEP-0101</t>
  </si>
  <si>
    <t>6dbad4c6c74b</t>
  </si>
  <si>
    <t>INC-013</t>
  </si>
  <si>
    <t>DEP-0102</t>
  </si>
  <si>
    <t>0832e0627297</t>
  </si>
  <si>
    <t>DEP-0103</t>
  </si>
  <si>
    <t>396200f6331c</t>
  </si>
  <si>
    <t>DEP-0104</t>
  </si>
  <si>
    <t>75f91ec5b2bc</t>
  </si>
  <si>
    <t>DEP-0105</t>
  </si>
  <si>
    <t>c348e3169fc8</t>
  </si>
  <si>
    <t>DEP-0106</t>
  </si>
  <si>
    <t>b707f8fce2cc</t>
  </si>
  <si>
    <t>DEP-0107</t>
  </si>
  <si>
    <t>c9ee5cae9e3d</t>
  </si>
  <si>
    <t>DEP-0108</t>
  </si>
  <si>
    <t>038f1c54438c</t>
  </si>
  <si>
    <t>DEP-0109</t>
  </si>
  <si>
    <t>5eff071188d2</t>
  </si>
  <si>
    <t>DEP-0110</t>
  </si>
  <si>
    <t>95e94253b4a5</t>
  </si>
  <si>
    <t>DEP-0111</t>
  </si>
  <si>
    <t>ec30b3719189</t>
  </si>
  <si>
    <t>DEP-0112</t>
  </si>
  <si>
    <t>08a97cccab22</t>
  </si>
  <si>
    <t>DEP-0113</t>
  </si>
  <si>
    <t>38abe2a49829</t>
  </si>
  <si>
    <t>DEP-0114</t>
  </si>
  <si>
    <t>2b92ee7b66fa</t>
  </si>
  <si>
    <t>DEP-0115</t>
  </si>
  <si>
    <t>1930738fc084</t>
  </si>
  <si>
    <t>DEP-0116</t>
  </si>
  <si>
    <t>0c7312e6c8e1</t>
  </si>
  <si>
    <t>DEP-0117</t>
  </si>
  <si>
    <t>641c40513793</t>
  </si>
  <si>
    <t>DEP-0118</t>
  </si>
  <si>
    <t>252dc80bf115</t>
  </si>
  <si>
    <t>DEP-0119</t>
  </si>
  <si>
    <t>0d43480a549d</t>
  </si>
  <si>
    <t>DEP-0120</t>
  </si>
  <si>
    <t>11cbe5e65cd6</t>
  </si>
  <si>
    <t>DEP-0121</t>
  </si>
  <si>
    <t>df9d3dfb7050</t>
  </si>
  <si>
    <t>DEP-0122</t>
  </si>
  <si>
    <t>f3f472f6d1b9</t>
  </si>
  <si>
    <t>INC-014</t>
  </si>
  <si>
    <t>DEP-0123</t>
  </si>
  <si>
    <t>0f383c4a22e9</t>
  </si>
  <si>
    <t>DEP-0124</t>
  </si>
  <si>
    <t>140da27e5df7</t>
  </si>
  <si>
    <t>DORA metrics - calculated from Raw_Data</t>
  </si>
  <si>
    <t>Overall 90-day window and per 30-day phase. All cells are formulas.</t>
  </si>
  <si>
    <t>SYNTHETIC dataset - simulated for the assignment, not real HealthQueue production data.</t>
  </si>
  <si>
    <t>Period start</t>
  </si>
  <si>
    <t>Period end</t>
  </si>
  <si>
    <t>Metric</t>
  </si>
  <si>
    <t>Unit</t>
  </si>
  <si>
    <t>How it is calculated</t>
  </si>
  <si>
    <t>Days in window</t>
  </si>
  <si>
    <t>days</t>
  </si>
  <si>
    <t>Input: 90-day window = three 30-day phases.</t>
  </si>
  <si>
    <t>Deployments</t>
  </si>
  <si>
    <t>count</t>
  </si>
  <si>
    <t>COUNTA / COUNTIF over Raw_Data.</t>
  </si>
  <si>
    <t>Deployment frequency</t>
  </si>
  <si>
    <t>deploys/day</t>
  </si>
  <si>
    <t>Deployments / days in window.</t>
  </si>
  <si>
    <t>deploys/week</t>
  </si>
  <si>
    <t>Deploys per day x 7.</t>
  </si>
  <si>
    <t>Change lead time (median)</t>
  </si>
  <si>
    <t>hours</t>
  </si>
  <si>
    <t>Median of (deployed_at - first_commit_at). Median resists outliers.</t>
  </si>
  <si>
    <t>Change lead time (90th percentile)</t>
  </si>
  <si>
    <t>Slowest 10% of changes take at least this long.</t>
  </si>
  <si>
    <t>Failed deployments</t>
  </si>
  <si>
    <t>Deployments that caused a production failure needing rollback/hotfix.</t>
  </si>
  <si>
    <t>%</t>
  </si>
  <si>
    <t>Failed deployments / deployments.</t>
  </si>
  <si>
    <t>Failed deployment recovery time (median)</t>
  </si>
  <si>
    <t>minutes</t>
  </si>
  <si>
    <t>Median of (restored_at - deployed_at) for failed deployments.</t>
  </si>
  <si>
    <t>Failed deployment recovery time (mean)</t>
  </si>
  <si>
    <t>Mean is shown to expose long-tail incidents.</t>
  </si>
  <si>
    <t>Manual deployment toil</t>
  </si>
  <si>
    <t>Hands-on minutes per deployment (build, deploy, smoke test, rollback), summed.</t>
  </si>
  <si>
    <t>Manual toil per deployment</t>
  </si>
  <si>
    <t>Toil / deployments.</t>
  </si>
  <si>
    <t>Why the median? Lead and recovery times are skewed (a few changes wait for days). The median describes the typical change; the 90th percentile and mean show the tail. Small samples (e.g. only a handful of failures per phase) make the per-phase failure rate and recovery time noisy - treat single-phase differences of a few points with caution.</t>
  </si>
  <si>
    <t>Weekly trend</t>
  </si>
  <si>
    <t>13 weeks (the last week has 6 days). Formulas over Raw_Data.</t>
  </si>
  <si>
    <t>SYNTHETIC dataset.</t>
  </si>
  <si>
    <t>Week</t>
  </si>
  <si>
    <t>Start</t>
  </si>
  <si>
    <t>End</t>
  </si>
  <si>
    <t>Deploys/day</t>
  </si>
  <si>
    <t>Failed</t>
  </si>
  <si>
    <t>Median lead time (h)</t>
  </si>
  <si>
    <t>Median recovery (min)</t>
  </si>
  <si>
    <t>Toil (h)</t>
  </si>
  <si>
    <t>Comparison with DORA 2024 performance clusters</t>
  </si>
  <si>
    <t>DORA (Google Cloud), Accelerate State of DevOps Report 2024 - software delivery performance clusters. https://dora.dev/research/2024/dora-report/</t>
  </si>
  <si>
    <t>Cluster (2024)</t>
  </si>
  <si>
    <t>Change lead time</t>
  </si>
  <si>
    <t>Failed deployment recovery time</t>
  </si>
  <si>
    <t>Elite</t>
  </si>
  <si>
    <t>On demand (multiple deploys per day)</t>
  </si>
  <si>
    <t>Less than one day</t>
  </si>
  <si>
    <t>Less than one hour</t>
  </si>
  <si>
    <t>High</t>
  </si>
  <si>
    <t>Between once per day and once per week</t>
  </si>
  <si>
    <t>Between one day and one week</t>
  </si>
  <si>
    <t>Medium</t>
  </si>
  <si>
    <t>Between once per week and once per month</t>
  </si>
  <si>
    <t>Between one week and one month</t>
  </si>
  <si>
    <t>Low</t>
  </si>
  <si>
    <t>Between once per month and once every six months</t>
  </si>
  <si>
    <t>Between one month and six months</t>
  </si>
  <si>
    <t>Source note: values are the 2024 report's cluster descriptions (typical values, not hard cut-offs). The 2024 Medium cluster had a LOWER change failure rate (10%) than High (20%) - the report notes this, so CFR is compared value-by-value below rather than as a strict ranking. The 2025 DORA report replaced these four tiers with seven team archetypes, so 2024 is the most recent edition with elite/high/medium/low benchmarks.</t>
  </si>
  <si>
    <t>Thresholds used to place a measured value in a cluster (our operationalisation)</t>
  </si>
  <si>
    <t>Elite if</t>
  </si>
  <si>
    <t>High if</t>
  </si>
  <si>
    <t>Medium if</t>
  </si>
  <si>
    <t>Low otherwise / note</t>
  </si>
  <si>
    <t>&gt;= 1 per 6 months</t>
  </si>
  <si>
    <t>&gt;= threshold</t>
  </si>
  <si>
    <t>Change lead time (median hours)</t>
  </si>
  <si>
    <t>&lt; 4,380 h (6 months)</t>
  </si>
  <si>
    <t>&lt; threshold</t>
  </si>
  <si>
    <t>&lt;= 40% (note: Medium value &lt; High value)</t>
  </si>
  <si>
    <t>&lt;= value</t>
  </si>
  <si>
    <t>Recovery time (median minutes)</t>
  </si>
  <si>
    <t>&lt;= 43,200 min (1 month)</t>
  </si>
  <si>
    <t>HealthQueue (synthetic) vs. benchmarks</t>
  </si>
  <si>
    <t xml:space="preserve">   -&gt; cluster</t>
  </si>
  <si>
    <t>Limitations: (1) the data is SYNTHETIC; (2) DORA clusters come from survey responses about many organisations, our numbers are computed from deployment records - the measurement methods differ; (3) one service and ~30 deployments per phase is a small sample; (4) a team should compare itself mainly with its own trend, not chase a label.</t>
  </si>
  <si>
    <t>What fails, and what recovers fastest</t>
  </si>
  <si>
    <t>Drives the toil-reduction recommendations.</t>
  </si>
  <si>
    <t>Failure category</t>
  </si>
  <si>
    <t>Failures</t>
  </si>
  <si>
    <t>Share of failures</t>
  </si>
  <si>
    <t>Remediation</t>
  </si>
  <si>
    <t>Times used</t>
  </si>
  <si>
    <t>Mean recovery (min)</t>
  </si>
  <si>
    <t>Toil reduction - connecting the DORA results to automation</t>
  </si>
  <si>
    <t>Toil = manual, repetitive, automatable work that grows with deployments (Google SRE book, ch. 5).</t>
  </si>
  <si>
    <t>Measure</t>
  </si>
  <si>
    <t>Deployments in phase</t>
  </si>
  <si>
    <t>Manual toil (hours per 30 days)</t>
  </si>
  <si>
    <t>Manual toil per deployment (minutes)</t>
  </si>
  <si>
    <t>Median change lead time (hours)</t>
  </si>
  <si>
    <t>Median recovery time (minutes)</t>
  </si>
  <si>
    <t>Toil per deployment reduced vs. phase 1</t>
  </si>
  <si>
    <t>Hours saved per 30 days at phase-3 volume if phase-1 process were still used</t>
  </si>
  <si>
    <t>Toil inventory: what was automated, and what is left</t>
  </si>
  <si>
    <t>Manual task (phase 1)</t>
  </si>
  <si>
    <t>Automated by</t>
  </si>
  <si>
    <t>Status</t>
  </si>
  <si>
    <t>Effect on DORA metric</t>
  </si>
  <si>
    <t>Build image on a laptop, push by hand</t>
  </si>
  <si>
    <t>CI pipeline (.github/workflows/ci.yml, release.yml)</t>
  </si>
  <si>
    <t>Done</t>
  </si>
  <si>
    <t>Lead time: no waiting for 'the person who builds'.</t>
  </si>
  <si>
    <t>Manual vulnerability check / no check</t>
  </si>
  <si>
    <t>Trivy gate in CI + Dependabot PRs</t>
  </si>
  <si>
    <t>CFR: vulnerable images never ship.</t>
  </si>
  <si>
    <t>SSH/kubectl deploy script run by hand</t>
  </si>
  <si>
    <t>Argo CD sync from Git (GitOps)</t>
  </si>
  <si>
    <t>Deployment frequency: deploy = merge a PR.</t>
  </si>
  <si>
    <t>Manual rollback (find old version, redeploy)</t>
  </si>
  <si>
    <t>git revert -&gt; Argo CD sync (tested: scripts/gitops_verify.sh)</t>
  </si>
  <si>
    <t>Recovery time: minutes instead of hours.</t>
  </si>
  <si>
    <t>Manual smoke test after each deploy</t>
  </si>
  <si>
    <t>Readiness probes + SLO burn-rate alerts</t>
  </si>
  <si>
    <t>Partly</t>
  </si>
  <si>
    <t>CFR/recovery: failures detected automatically.</t>
  </si>
  <si>
    <t>Approving each image-digest PR by hand</t>
  </si>
  <si>
    <t>Auto-merge digest PRs when signature + provenance verify</t>
  </si>
  <si>
    <t>Next</t>
  </si>
  <si>
    <t>Lead time: removes the remaining hand-off.</t>
  </si>
  <si>
    <t>Watching dashboards during rollout</t>
  </si>
  <si>
    <t>Progressive delivery (Argo Rollouts canary + analysis on SLIs)</t>
  </si>
  <si>
    <t>CFR: bad versions stop at 10% of traffic.</t>
  </si>
  <si>
    <t>Configuration mistakes reaching prod</t>
  </si>
  <si>
    <t>Policy-as-code tests on manifests (kubeconform + Kyverno/OPA)</t>
  </si>
  <si>
    <t>CFR: biggest failure category (see Failure_Analysis).</t>
  </si>
  <si>
    <t>Definitions, units, windows and formulas</t>
  </si>
  <si>
    <t>DORA definition (2024)</t>
  </si>
  <si>
    <t>How this workbook measures it</t>
  </si>
  <si>
    <t>Window</t>
  </si>
  <si>
    <t>How often application changes are deployed to production.</t>
  </si>
  <si>
    <t>Count of production deployments / days in window.</t>
  </si>
  <si>
    <t>deploys per day (and per week)</t>
  </si>
  <si>
    <t>90 d and 30-d phases</t>
  </si>
  <si>
    <t>Time for a committed change to be successfully deployed to production.</t>
  </si>
  <si>
    <t>deployed_at_utc - first_commit_at_utc of the change; reported as median and p90.</t>
  </si>
  <si>
    <t>Share of deployments that cause a failure in production requiring remediation (rollback, hotfix, roll-forward).</t>
  </si>
  <si>
    <t>Deployments with change_failed = TRUE / all deployments.</t>
  </si>
  <si>
    <t>Time to recover from a deployment that failed in production.</t>
  </si>
  <si>
    <t>restored_at_utc - deployed_at_utc for failed deployments; median and mean.</t>
  </si>
  <si>
    <t>Manual toil (supporting metric)</t>
  </si>
  <si>
    <t>Not a DORA metric. Google SRE definition of toil.</t>
  </si>
  <si>
    <t>manual_toil_minutes per deployment, summed.</t>
  </si>
  <si>
    <t>per phase</t>
  </si>
  <si>
    <t>Source of definitions and benchmarks: DORA (Google Cloud), Accelerate State of DevOps Report 2024 - software delivery performance clusters. https://dora.dev/research/2024/dora-report/. Synthetic data generated by scripts/generate_dora_data.py with fixed seed 20261025; the CSV is in data/dora_deployments.csv.</t>
  </si>
  <si>
    <t>Python recomputes each metric from the CSV; Excel formulas must match.</t>
  </si>
  <si>
    <t>Overall</t>
  </si>
  <si>
    <t>Check</t>
  </si>
  <si>
    <t>Workbook formula value</t>
  </si>
  <si>
    <t>Independent Python value</t>
  </si>
  <si>
    <t>Abs. difference</t>
  </si>
  <si>
    <t>Result</t>
  </si>
  <si>
    <t>Overall: deployments</t>
  </si>
  <si>
    <t>Overall: deploys/day</t>
  </si>
  <si>
    <t>Overall: median lead time (h)</t>
  </si>
  <si>
    <t>Overall: p90 lead time (h)</t>
  </si>
  <si>
    <t>Overall: failed deployments</t>
  </si>
  <si>
    <t>Overall: change failure rate</t>
  </si>
  <si>
    <t>Overall: median recovery (min)</t>
  </si>
  <si>
    <t>Overall: mean recovery (min)</t>
  </si>
  <si>
    <t>Overall: toil hours</t>
  </si>
  <si>
    <t>1-Manual: deployments</t>
  </si>
  <si>
    <t>1-Manual: deploys/day</t>
  </si>
  <si>
    <t>1-Manual: median lead time (h)</t>
  </si>
  <si>
    <t>1-Manual: p90 lead time (h)</t>
  </si>
  <si>
    <t>1-Manual: failed deployments</t>
  </si>
  <si>
    <t>1-Manual: change failure rate</t>
  </si>
  <si>
    <t>1-Manual: median recovery (min)</t>
  </si>
  <si>
    <t>1-Manual: mean recovery (min)</t>
  </si>
  <si>
    <t>1-Manual: toil hours</t>
  </si>
  <si>
    <t>2-CI: deployments</t>
  </si>
  <si>
    <t>2-CI: deploys/day</t>
  </si>
  <si>
    <t>2-CI: median lead time (h)</t>
  </si>
  <si>
    <t>2-CI: p90 lead time (h)</t>
  </si>
  <si>
    <t>2-CI: failed deployments</t>
  </si>
  <si>
    <t>2-CI: change failure rate</t>
  </si>
  <si>
    <t>2-CI: median recovery (min)</t>
  </si>
  <si>
    <t>2-CI: mean recovery (min)</t>
  </si>
  <si>
    <t>2-CI: toil hours</t>
  </si>
  <si>
    <t>3-GitOps: deployments</t>
  </si>
  <si>
    <t>3-GitOps: deploys/day</t>
  </si>
  <si>
    <t>3-GitOps: median lead time (h)</t>
  </si>
  <si>
    <t>3-GitOps: p90 lead time (h)</t>
  </si>
  <si>
    <t>3-GitOps: failed deployments</t>
  </si>
  <si>
    <t>3-GitOps: change failure rate</t>
  </si>
  <si>
    <t>3-GitOps: median recovery (min)</t>
  </si>
  <si>
    <t>3-GitOps: mean recovery (min)</t>
  </si>
  <si>
    <t>3-GitOps: toil hours</t>
  </si>
  <si>
    <t>Data integrity: lead_time != deployed - first_commit (1 = violation)</t>
  </si>
  <si>
    <t>Data integrity: recovery != restored - deployed (1 = violation)</t>
  </si>
  <si>
    <t>Week 1 deployments</t>
  </si>
  <si>
    <t>Sum of weekly deployments = total</t>
  </si>
  <si>
    <t>Overall DF cluster is Elite (1=yes)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</si>
</sst>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yyyy\-mm\-dd"/>
    <numFmt numFmtId="166" formatCode="yyyy\-mm\-dd\ hh:mm"/>
    <numFmt numFmtId="167" formatCode="0.0"/>
    <numFmt numFmtId="168" formatCode="0.0%"/>
    <numFmt numFmtId="169" formatCode="0.000"/>
    <numFmt numFmtId="170" formatCode="0.0000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b/>
      <sz val="16"/>
      <color rgb="FF1F3864"/>
      <name val="Arial"/>
    </font>
    <font>
      <i/>
      <sz val="10"/>
      <color rgb="FF595959"/>
      <name val="Arial"/>
    </font>
    <font>
      <b/>
      <sz val="10"/>
      <color rgb="FFC00000"/>
      <name val="Arial"/>
    </font>
    <font>
      <sz val="10"/>
      <name val="Arial"/>
    </font>
    <font>
      <b/>
      <sz val="10"/>
      <name val="Arial"/>
    </font>
    <font>
      <b/>
      <sz val="12"/>
      <color rgb="FF1F3864"/>
      <name val="Arial"/>
    </font>
    <font>
      <sz val="10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2" fontId="9" fillId="0" borderId="1" xfId="0" applyNumberFormat="1" applyFont="1" applyBorder="1"/>
    <xf numFmtId="0" fontId="9" fillId="0" borderId="1" xfId="0" applyFont="1" applyBorder="1"/>
    <xf numFmtId="167" fontId="9" fillId="0" borderId="1" xfId="0" applyNumberFormat="1" applyFont="1" applyBorder="1"/>
    <xf numFmtId="168" fontId="9" fillId="0" borderId="1" xfId="0" applyNumberFormat="1" applyFont="1" applyBorder="1"/>
    <xf numFmtId="1" fontId="9" fillId="0" borderId="1" xfId="0" applyNumberFormat="1" applyFont="1" applyBorder="1"/>
    <xf numFmtId="0" fontId="8" fillId="0" borderId="0" xfId="0" applyFont="1"/>
    <xf numFmtId="0" fontId="7" fillId="0" borderId="0" xfId="0" applyFont="1"/>
    <xf numFmtId="0" fontId="9" fillId="0" borderId="0" xfId="0" applyFont="1"/>
    <xf numFmtId="0" fontId="2" fillId="0" borderId="0" xfId="0" applyFont="1"/>
    <xf numFmtId="166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0" fontId="6" fillId="0" borderId="1" xfId="0" applyFont="1" applyBorder="1"/>
    <xf numFmtId="1" fontId="2" fillId="0" borderId="1" xfId="0" applyNumberFormat="1" applyFont="1" applyBorder="1"/>
    <xf numFmtId="0" fontId="6" fillId="0" borderId="1" xfId="0" applyFont="1" applyBorder="1" applyAlignment="1">
      <alignment vertical="top" wrapText="1"/>
    </xf>
    <xf numFmtId="1" fontId="6" fillId="0" borderId="1" xfId="0" applyNumberFormat="1" applyFont="1" applyBorder="1"/>
    <xf numFmtId="2" fontId="6" fillId="0" borderId="1" xfId="0" applyNumberFormat="1" applyFont="1" applyBorder="1"/>
    <xf numFmtId="167" fontId="6" fillId="0" borderId="1" xfId="0" applyNumberFormat="1" applyFont="1" applyBorder="1"/>
    <xf numFmtId="168" fontId="6" fillId="0" borderId="1" xfId="0" applyNumberFormat="1" applyFont="1" applyBorder="1"/>
    <xf numFmtId="165" fontId="6" fillId="0" borderId="1" xfId="0" applyNumberFormat="1" applyFont="1" applyBorder="1"/>
    <xf numFmtId="9" fontId="6" fillId="0" borderId="1" xfId="0" applyNumberFormat="1" applyFont="1" applyBorder="1"/>
    <xf numFmtId="0" fontId="2" fillId="0" borderId="1" xfId="0" applyFont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  <xf numFmtId="169" fontId="2" fillId="0" borderId="1" xfId="0" applyNumberFormat="1" applyFont="1" applyBorder="1"/>
    <xf numFmtId="0" fontId="2" fillId="0" borderId="1" xfId="0" applyFont="1" applyBorder="1"/>
    <xf numFmtId="9" fontId="2" fillId="0" borderId="1" xfId="0" applyNumberFormat="1" applyFont="1" applyBorder="1"/>
    <xf numFmtId="170" fontId="6" fillId="0" borderId="1" xfId="0" applyNumberFormat="1" applyFont="1" applyBorder="1"/>
    <xf numFmtId="170" fontId="2" fillId="0" borderId="1" xfId="0" applyNumberFormat="1" applyFont="1" applyBorder="1"/>
    <xf numFmtId="0" fontId="6" fillId="0" borderId="0" xfId="0" applyFont="1" applyAlignment="1">
      <alignment vertical="top" wrapText="1"/>
    </xf>
    <xf numFmtId="0" fontId="0" fillId="0" borderId="0" xfId="0"/>
    <xf numFmtId="0" fontId="5" fillId="3" borderId="0" xfId="0" applyFont="1" applyFill="1"/>
  </cellXfs>
  <cellStyles count="1">
    <cellStyle name="Normal" xfId="0" builtinId="0"/>
  </cellStyles>
  <dxfs count="16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Deployments per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Weekly_Trend!$D$5</c:f>
              <c:strCache>
                <c:ptCount val="1"/>
                <c:pt idx="0">
                  <c:v>Deployments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Weekly_Trend!$A$6:$A$18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Weekly_Trend!$D$6:$D$18</c:f>
              <c:numCache>
                <c:formatCode>General</c:formatCode>
                <c:ptCount val="13"/>
                <c:pt idx="0">
                  <c:v>8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11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14</c:v>
                </c:pt>
                <c:pt idx="9">
                  <c:v>16</c:v>
                </c:pt>
                <c:pt idx="10">
                  <c:v>14</c:v>
                </c:pt>
                <c:pt idx="11">
                  <c:v>17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8-4CA0-92A2-EDF3302DA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Median change lead time per week (hours)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Weekly_Trend!$H$5</c:f>
              <c:strCache>
                <c:ptCount val="1"/>
                <c:pt idx="0">
                  <c:v>Median lead time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Weekly_Trend!$A$6:$A$18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Weekly_Trend!$H$6:$H$18</c:f>
              <c:numCache>
                <c:formatCode>0.0</c:formatCode>
                <c:ptCount val="13"/>
                <c:pt idx="0">
                  <c:v>59.879999999999995</c:v>
                </c:pt>
                <c:pt idx="1">
                  <c:v>50.57</c:v>
                </c:pt>
                <c:pt idx="2">
                  <c:v>39.879999999999995</c:v>
                </c:pt>
                <c:pt idx="3">
                  <c:v>33.414999999999999</c:v>
                </c:pt>
                <c:pt idx="4">
                  <c:v>32.409999999999997</c:v>
                </c:pt>
                <c:pt idx="5">
                  <c:v>17.12</c:v>
                </c:pt>
                <c:pt idx="6">
                  <c:v>17.36</c:v>
                </c:pt>
                <c:pt idx="7">
                  <c:v>22.35</c:v>
                </c:pt>
                <c:pt idx="8">
                  <c:v>10.914999999999999</c:v>
                </c:pt>
                <c:pt idx="9">
                  <c:v>7.2050000000000001</c:v>
                </c:pt>
                <c:pt idx="10">
                  <c:v>9.3999999999999986</c:v>
                </c:pt>
                <c:pt idx="11">
                  <c:v>6.37</c:v>
                </c:pt>
                <c:pt idx="12">
                  <c:v>9.2899999999999991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DB-4C68-8A8E-4886502AD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Change failure rate per week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Weekly_Trend!$G$5</c:f>
              <c:strCache>
                <c:ptCount val="1"/>
                <c:pt idx="0">
                  <c:v>Change failure rate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Weekly_Trend!$A$6:$A$18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Weekly_Trend!$G$6:$G$18</c:f>
              <c:numCache>
                <c:formatCode>0%</c:formatCode>
                <c:ptCount val="13"/>
                <c:pt idx="0">
                  <c:v>0.125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0.125</c:v>
                </c:pt>
                <c:pt idx="4">
                  <c:v>0.27272727272727271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  <c:pt idx="10">
                  <c:v>0.21428571428571427</c:v>
                </c:pt>
                <c:pt idx="11">
                  <c:v>5.8823529411764705E-2</c:v>
                </c:pt>
                <c:pt idx="12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8A-47C7-98AF-A204F0F41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Manual deployment toil per week (hours)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Weekly_Trend!$J$5</c:f>
              <c:strCache>
                <c:ptCount val="1"/>
                <c:pt idx="0">
                  <c:v>Toil (h)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Weekly_Trend!$A$6:$A$18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Weekly_Trend!$J$6:$J$18</c:f>
              <c:numCache>
                <c:formatCode>0.0</c:formatCode>
                <c:ptCount val="13"/>
                <c:pt idx="0">
                  <c:v>6.3166666666666664</c:v>
                </c:pt>
                <c:pt idx="1">
                  <c:v>2.65</c:v>
                </c:pt>
                <c:pt idx="2">
                  <c:v>4.95</c:v>
                </c:pt>
                <c:pt idx="3">
                  <c:v>7.1333333333333337</c:v>
                </c:pt>
                <c:pt idx="4">
                  <c:v>5.4</c:v>
                </c:pt>
                <c:pt idx="5">
                  <c:v>2.5333333333333332</c:v>
                </c:pt>
                <c:pt idx="6">
                  <c:v>3.1666666666666665</c:v>
                </c:pt>
                <c:pt idx="7">
                  <c:v>2.0166666666666666</c:v>
                </c:pt>
                <c:pt idx="8">
                  <c:v>2.8666666666666667</c:v>
                </c:pt>
                <c:pt idx="9">
                  <c:v>1.1833333333333333</c:v>
                </c:pt>
                <c:pt idx="10">
                  <c:v>0.8833333333333333</c:v>
                </c:pt>
                <c:pt idx="11">
                  <c:v>1.1666666666666667</c:v>
                </c:pt>
                <c:pt idx="12">
                  <c:v>0.51666666666666672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B-4FD5-8A1A-A15632DAC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Median recovery time by remediation (minutes)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Failure_Analysis!$C$11</c:f>
              <c:strCache>
                <c:ptCount val="1"/>
                <c:pt idx="0">
                  <c:v>Median recovery (min)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Failure_Analysis!$A$12:$A$15</c:f>
              <c:strCache>
                <c:ptCount val="4"/>
                <c:pt idx="0">
                  <c:v>git revert (Argo CD sync)</c:v>
                </c:pt>
                <c:pt idx="1">
                  <c:v>hotfix</c:v>
                </c:pt>
                <c:pt idx="2">
                  <c:v>manual rollback</c:v>
                </c:pt>
                <c:pt idx="3">
                  <c:v>roll forward</c:v>
                </c:pt>
              </c:strCache>
            </c:strRef>
          </c:cat>
          <c:val>
            <c:numRef>
              <c:f>Failure_Analysis!$C$12:$C$15</c:f>
              <c:numCache>
                <c:formatCode>0</c:formatCode>
                <c:ptCount val="4"/>
                <c:pt idx="0">
                  <c:v>31</c:v>
                </c:pt>
                <c:pt idx="1">
                  <c:v>181</c:v>
                </c:pt>
                <c:pt idx="2">
                  <c:v>224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A-46E6-9861-0E1C31604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Manual toil per deployment by phase (minutes)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Toil_Reduction!$B$4:$D$4</c:f>
              <c:strCache>
                <c:ptCount val="3"/>
                <c:pt idx="0">
                  <c:v>1-Manual</c:v>
                </c:pt>
                <c:pt idx="1">
                  <c:v>2-CI</c:v>
                </c:pt>
                <c:pt idx="2">
                  <c:v>3-GitOps</c:v>
                </c:pt>
              </c:strCache>
            </c:strRef>
          </c:cat>
          <c:val>
            <c:numRef>
              <c:f>Toil_Reduction!$B$7:$D$7</c:f>
              <c:numCache>
                <c:formatCode>0.0</c:formatCode>
                <c:ptCount val="3"/>
                <c:pt idx="0">
                  <c:v>49.862068965517238</c:v>
                </c:pt>
                <c:pt idx="1">
                  <c:v>22.029411764705884</c:v>
                </c:pt>
                <c:pt idx="2">
                  <c:v>4.1311475409836067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A-421C-AAB7-4FB0155BF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61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20</xdr:row>
      <xdr:rowOff>0</xdr:rowOff>
    </xdr:from>
    <xdr:ext cx="61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36</xdr:row>
      <xdr:rowOff>0</xdr:rowOff>
    </xdr:from>
    <xdr:ext cx="612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52</xdr:row>
      <xdr:rowOff>0</xdr:rowOff>
    </xdr:from>
    <xdr:ext cx="612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7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workbookViewId="0"/>
  </sheetViews>
  <sheetFormatPr defaultRowHeight="14.4" x14ac:dyDescent="0.3"/>
  <cols>
    <col min="1" max="1" width="36" customWidth="1"/>
    <col min="2" max="2" width="16" customWidth="1"/>
    <col min="3" max="3" width="24" customWidth="1"/>
    <col min="4" max="4" width="20" customWidth="1"/>
    <col min="5" max="5" width="24" customWidth="1"/>
    <col min="6" max="6" width="18" customWidth="1"/>
  </cols>
  <sheetData>
    <row r="1" spans="1:6" ht="21" x14ac:dyDescent="0.4">
      <c r="A1" s="1" t="s">
        <v>0</v>
      </c>
    </row>
    <row r="2" spans="1:6" x14ac:dyDescent="0.3">
      <c r="A2" s="2" t="s">
        <v>1</v>
      </c>
    </row>
    <row r="3" spans="1:6" x14ac:dyDescent="0.3">
      <c r="A3" s="35" t="s">
        <v>2</v>
      </c>
      <c r="B3" s="34"/>
      <c r="C3" s="34"/>
      <c r="D3" s="34"/>
      <c r="E3" s="34"/>
      <c r="F3" s="34"/>
    </row>
    <row r="5" spans="1:6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5</v>
      </c>
      <c r="F5" s="3" t="s">
        <v>7</v>
      </c>
    </row>
    <row r="6" spans="1:6" x14ac:dyDescent="0.3">
      <c r="A6" s="4" t="s">
        <v>8</v>
      </c>
      <c r="B6" s="5">
        <f>Benchmarks!B20</f>
        <v>1.3777777777777778</v>
      </c>
      <c r="C6" s="6" t="str">
        <f>Benchmarks!B21</f>
        <v>Elite</v>
      </c>
      <c r="D6" s="5">
        <f>Benchmarks!E20</f>
        <v>2.0333333333333332</v>
      </c>
      <c r="E6" s="6" t="str">
        <f>Benchmarks!E21</f>
        <v>Elite</v>
      </c>
      <c r="F6" s="6" t="str">
        <f>IF(Metrics!F8&gt;Metrics!D8,"Improving","Worse")</f>
        <v>Improving</v>
      </c>
    </row>
    <row r="7" spans="1:6" x14ac:dyDescent="0.3">
      <c r="A7" s="4" t="s">
        <v>9</v>
      </c>
      <c r="B7" s="7">
        <f>Benchmarks!B22</f>
        <v>12.86</v>
      </c>
      <c r="C7" s="6" t="str">
        <f>Benchmarks!B23</f>
        <v>Elite</v>
      </c>
      <c r="D7" s="7">
        <f>Benchmarks!E22</f>
        <v>7.51</v>
      </c>
      <c r="E7" s="6" t="str">
        <f>Benchmarks!E23</f>
        <v>Elite</v>
      </c>
      <c r="F7" s="6" t="str">
        <f>IF(Metrics!F10&lt;Metrics!D10,"Improving","Worse")</f>
        <v>Improving</v>
      </c>
    </row>
    <row r="8" spans="1:6" x14ac:dyDescent="0.3">
      <c r="A8" s="4" t="s">
        <v>10</v>
      </c>
      <c r="B8" s="8">
        <f>Benchmarks!B24</f>
        <v>0.11290322580645161</v>
      </c>
      <c r="C8" s="6" t="str">
        <f>Benchmarks!B25</f>
        <v>High value (&lt;=20%)</v>
      </c>
      <c r="D8" s="8">
        <f>Benchmarks!E24</f>
        <v>8.1967213114754092E-2</v>
      </c>
      <c r="E8" s="6" t="str">
        <f>Benchmarks!E25</f>
        <v>Medium value (&lt;=10%)</v>
      </c>
      <c r="F8" s="6" t="str">
        <f>IF(Metrics!F13&lt;Metrics!D13,"Improving","Worse")</f>
        <v>Improving</v>
      </c>
    </row>
    <row r="9" spans="1:6" x14ac:dyDescent="0.3">
      <c r="A9" s="4" t="s">
        <v>11</v>
      </c>
      <c r="B9" s="9">
        <f>Benchmarks!B26</f>
        <v>79</v>
      </c>
      <c r="C9" s="6" t="str">
        <f>Benchmarks!B27</f>
        <v>High / Medium (&lt; 1 day)</v>
      </c>
      <c r="D9" s="9">
        <f>Benchmarks!E26</f>
        <v>36</v>
      </c>
      <c r="E9" s="6" t="str">
        <f>Benchmarks!E27</f>
        <v>Elite</v>
      </c>
      <c r="F9" s="6" t="str">
        <f>IF(Metrics!F14&lt;Metrics!D14,"Improving","Worse")</f>
        <v>Improving</v>
      </c>
    </row>
    <row r="11" spans="1:6" ht="15.6" x14ac:dyDescent="0.3">
      <c r="A11" s="10" t="s">
        <v>12</v>
      </c>
    </row>
    <row r="12" spans="1:6" ht="34.049999999999997" customHeight="1" x14ac:dyDescent="0.3">
      <c r="A12" s="33" t="str">
        <f>"1. Throughput: deployments rose from "&amp;TEXT(Metrics!D8,"0.00")&amp;"/day (manual) to "&amp;TEXT(Metrics!F8,"0.00")&amp;"/day (GitOps); median lead time fell from "&amp;TEXT(Metrics!D10,"0")&amp;" h to "&amp;TEXT(Metrics!F10,"0.0")&amp;" h."</f>
        <v>1. Throughput: deployments rose from 0.97/day (manual) to 2.03/day (GitOps); median lead time fell from 44 h to 7.5 h.</v>
      </c>
      <c r="B12" s="34"/>
      <c r="C12" s="34"/>
      <c r="D12" s="34"/>
      <c r="E12" s="34"/>
      <c r="F12" s="34"/>
    </row>
    <row r="13" spans="1:6" ht="34.049999999999997" customHeight="1" x14ac:dyDescent="0.3">
      <c r="A13" s="33" t="str">
        <f>"2. Stability: change failure rate went from "&amp;TEXT(Metrics!D13,"0%")&amp;" to "&amp;TEXT(Metrics!F13,"0%")&amp;" and median recovery from "&amp;TEXT(Metrics!D14,"0")&amp;" to "&amp;TEXT(Metrics!F14,"0")&amp;" minutes - speed did not cost stability."</f>
        <v>2. Stability: change failure rate went from 24% to 8% and median recovery from 224 to 36 minutes - speed did not cost stability.</v>
      </c>
      <c r="B13" s="34"/>
      <c r="C13" s="34"/>
      <c r="D13" s="34"/>
      <c r="E13" s="34"/>
      <c r="F13" s="34"/>
    </row>
    <row r="14" spans="1:6" ht="34.049999999999997" customHeight="1" x14ac:dyDescent="0.3">
      <c r="A14" s="33" t="str">
        <f>"3. Toil: hands-on minutes per deployment dropped "&amp;TEXT(Toil_Reduction!D10,"0%")&amp;" (from "&amp;TEXT(Metrics!D17,"0")&amp;" to "&amp;TEXT(Metrics!F17,"0.0")&amp;" min), saving ~"&amp;TEXT(Toil_Reduction!D11,"0")&amp;" engineer-hours per month at today's volume."</f>
        <v>3. Toil: hands-on minutes per deployment dropped 92% (from 50 to 4.1 min), saving ~46 engineer-hours per month at today's volume.</v>
      </c>
      <c r="B14" s="34"/>
      <c r="C14" s="34"/>
      <c r="D14" s="34"/>
      <c r="E14" s="34"/>
      <c r="F14" s="34"/>
    </row>
    <row r="15" spans="1:6" ht="34.049999999999997" customHeight="1" x14ac:dyDescent="0.3">
      <c r="A15" s="33" t="s">
        <v>13</v>
      </c>
      <c r="B15" s="34"/>
      <c r="C15" s="34"/>
      <c r="D15" s="34"/>
      <c r="E15" s="34"/>
      <c r="F15" s="34"/>
    </row>
    <row r="16" spans="1:6" ht="34.049999999999997" customHeight="1" x14ac:dyDescent="0.3">
      <c r="A16" s="33" t="s">
        <v>14</v>
      </c>
      <c r="B16" s="34"/>
      <c r="C16" s="34"/>
      <c r="D16" s="34"/>
      <c r="E16" s="34"/>
      <c r="F16" s="34"/>
    </row>
    <row r="18" spans="1:6" ht="15.6" x14ac:dyDescent="0.3">
      <c r="A18" s="10" t="s">
        <v>15</v>
      </c>
    </row>
    <row r="19" spans="1:6" ht="31.95" customHeight="1" x14ac:dyDescent="0.3">
      <c r="A19" s="33" t="s">
        <v>16</v>
      </c>
      <c r="B19" s="34"/>
      <c r="C19" s="34"/>
      <c r="D19" s="34"/>
      <c r="E19" s="34"/>
      <c r="F19" s="34"/>
    </row>
    <row r="20" spans="1:6" ht="31.95" customHeight="1" x14ac:dyDescent="0.3">
      <c r="A20" s="33" t="s">
        <v>17</v>
      </c>
      <c r="B20" s="34"/>
      <c r="C20" s="34"/>
      <c r="D20" s="34"/>
      <c r="E20" s="34"/>
      <c r="F20" s="34"/>
    </row>
    <row r="21" spans="1:6" ht="31.95" customHeight="1" x14ac:dyDescent="0.3">
      <c r="A21" s="33" t="s">
        <v>18</v>
      </c>
      <c r="B21" s="34"/>
      <c r="C21" s="34"/>
      <c r="D21" s="34"/>
      <c r="E21" s="34"/>
      <c r="F21" s="34"/>
    </row>
    <row r="22" spans="1:6" ht="31.95" customHeight="1" x14ac:dyDescent="0.3">
      <c r="A22" s="33" t="s">
        <v>19</v>
      </c>
      <c r="B22" s="34"/>
      <c r="C22" s="34"/>
      <c r="D22" s="34"/>
      <c r="E22" s="34"/>
      <c r="F22" s="34"/>
    </row>
    <row r="24" spans="1:6" x14ac:dyDescent="0.3">
      <c r="A24" s="11" t="s">
        <v>20</v>
      </c>
      <c r="C24" s="12" t="str">
        <f>Checks!B3</f>
        <v>ALL CHECKS PASS</v>
      </c>
    </row>
  </sheetData>
  <mergeCells count="10">
    <mergeCell ref="A12:F12"/>
    <mergeCell ref="A3:F3"/>
    <mergeCell ref="A21:F21"/>
    <mergeCell ref="A20:F20"/>
    <mergeCell ref="A15:F15"/>
    <mergeCell ref="A16:F16"/>
    <mergeCell ref="A13:F13"/>
    <mergeCell ref="A14:F14"/>
    <mergeCell ref="A19:F19"/>
    <mergeCell ref="A22:F22"/>
  </mergeCells>
  <conditionalFormatting sqref="C6:C9">
    <cfRule type="expression" dxfId="15" priority="1">
      <formula>LEFT(C6,5)="Elite"</formula>
    </cfRule>
  </conditionalFormatting>
  <conditionalFormatting sqref="C24">
    <cfRule type="expression" dxfId="14" priority="6">
      <formula>C24="ALL CHECKS PASS"</formula>
    </cfRule>
    <cfRule type="expression" dxfId="13" priority="7">
      <formula>C24&lt;&gt;"ALL CHECKS PASS"</formula>
    </cfRule>
  </conditionalFormatting>
  <conditionalFormatting sqref="C6:E9">
    <cfRule type="expression" dxfId="12" priority="3">
      <formula>OR(LEFT(C6,4)="High",LEFT(C6,6)="Medium")</formula>
    </cfRule>
  </conditionalFormatting>
  <conditionalFormatting sqref="E6:E9">
    <cfRule type="expression" dxfId="11" priority="2">
      <formula>LEFT(E6,5)="Elite"</formula>
    </cfRule>
  </conditionalFormatting>
  <conditionalFormatting sqref="F6:F9">
    <cfRule type="expression" dxfId="10" priority="4">
      <formula>F6="Improving"</formula>
    </cfRule>
    <cfRule type="expression" dxfId="9" priority="5">
      <formula>F6="Worse"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17" customWidth="1"/>
    <col min="3" max="3" width="11" customWidth="1"/>
    <col min="4" max="4" width="10" customWidth="1"/>
    <col min="5" max="5" width="24" customWidth="1"/>
    <col min="6" max="6" width="15" customWidth="1"/>
    <col min="7" max="7" width="20" customWidth="1"/>
    <col min="8" max="8" width="13" customWidth="1"/>
    <col min="9" max="9" width="9" customWidth="1"/>
    <col min="10" max="10" width="17" customWidth="1"/>
    <col min="11" max="12" width="10" customWidth="1"/>
    <col min="13" max="13" width="22" customWidth="1"/>
    <col min="14" max="14" width="10" customWidth="1"/>
    <col min="15" max="15" width="17" customWidth="1"/>
    <col min="16" max="16" width="10" customWidth="1"/>
    <col min="17" max="17" width="24" customWidth="1"/>
    <col min="18" max="18" width="10" customWidth="1"/>
  </cols>
  <sheetData>
    <row r="1" spans="1:18" ht="26.4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</row>
    <row r="2" spans="1:18" x14ac:dyDescent="0.3">
      <c r="A2" s="13" t="s">
        <v>39</v>
      </c>
      <c r="B2" s="14">
        <v>46204.856944444437</v>
      </c>
      <c r="C2" s="15">
        <v>46204</v>
      </c>
      <c r="D2" s="13" t="s">
        <v>40</v>
      </c>
      <c r="E2" s="13" t="s">
        <v>41</v>
      </c>
      <c r="F2" s="13" t="s">
        <v>42</v>
      </c>
      <c r="G2" s="13" t="s">
        <v>43</v>
      </c>
      <c r="H2" s="13" t="s">
        <v>44</v>
      </c>
      <c r="I2" s="13">
        <v>413</v>
      </c>
      <c r="J2" s="14">
        <v>46203.092361111107</v>
      </c>
      <c r="K2" s="16">
        <v>42.35</v>
      </c>
      <c r="L2" s="13" t="b">
        <v>0</v>
      </c>
      <c r="M2" s="13"/>
      <c r="N2" s="13"/>
      <c r="O2" s="14"/>
      <c r="P2" s="13"/>
      <c r="Q2" s="13"/>
      <c r="R2" s="13">
        <v>36</v>
      </c>
    </row>
    <row r="3" spans="1:18" x14ac:dyDescent="0.3">
      <c r="A3" s="13" t="s">
        <v>45</v>
      </c>
      <c r="B3" s="14">
        <v>46204.947916666657</v>
      </c>
      <c r="C3" s="15">
        <v>46204</v>
      </c>
      <c r="D3" s="13" t="s">
        <v>40</v>
      </c>
      <c r="E3" s="13" t="s">
        <v>41</v>
      </c>
      <c r="F3" s="13" t="s">
        <v>42</v>
      </c>
      <c r="G3" s="13" t="s">
        <v>43</v>
      </c>
      <c r="H3" s="13" t="s">
        <v>46</v>
      </c>
      <c r="I3" s="13">
        <v>415</v>
      </c>
      <c r="J3" s="14">
        <v>46203.404583333337</v>
      </c>
      <c r="K3" s="16">
        <v>37.04</v>
      </c>
      <c r="L3" s="13" t="b">
        <v>0</v>
      </c>
      <c r="M3" s="13"/>
      <c r="N3" s="13"/>
      <c r="O3" s="14"/>
      <c r="P3" s="13"/>
      <c r="Q3" s="13"/>
      <c r="R3" s="13">
        <v>53</v>
      </c>
    </row>
    <row r="4" spans="1:18" x14ac:dyDescent="0.3">
      <c r="A4" s="13" t="s">
        <v>47</v>
      </c>
      <c r="B4" s="14">
        <v>46205.572222222218</v>
      </c>
      <c r="C4" s="15">
        <v>46205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48</v>
      </c>
      <c r="I4" s="13">
        <v>417</v>
      </c>
      <c r="J4" s="14">
        <v>46195.549722222233</v>
      </c>
      <c r="K4" s="16">
        <v>240.54</v>
      </c>
      <c r="L4" s="13" t="b">
        <v>1</v>
      </c>
      <c r="M4" s="13" t="s">
        <v>49</v>
      </c>
      <c r="N4" s="13" t="s">
        <v>50</v>
      </c>
      <c r="O4" s="14">
        <v>46205.697916666657</v>
      </c>
      <c r="P4" s="13">
        <v>181</v>
      </c>
      <c r="Q4" s="13" t="s">
        <v>51</v>
      </c>
      <c r="R4" s="13">
        <v>48</v>
      </c>
    </row>
    <row r="5" spans="1:18" x14ac:dyDescent="0.3">
      <c r="A5" s="13" t="s">
        <v>52</v>
      </c>
      <c r="B5" s="14">
        <v>46205.95416666667</v>
      </c>
      <c r="C5" s="15">
        <v>46205</v>
      </c>
      <c r="D5" s="13" t="s">
        <v>40</v>
      </c>
      <c r="E5" s="13" t="s">
        <v>41</v>
      </c>
      <c r="F5" s="13" t="s">
        <v>42</v>
      </c>
      <c r="G5" s="13" t="s">
        <v>43</v>
      </c>
      <c r="H5" s="13" t="s">
        <v>53</v>
      </c>
      <c r="I5" s="13">
        <v>419</v>
      </c>
      <c r="J5" s="14">
        <v>46204.947500000002</v>
      </c>
      <c r="K5" s="16">
        <v>24.16</v>
      </c>
      <c r="L5" s="13" t="b">
        <v>0</v>
      </c>
      <c r="M5" s="13"/>
      <c r="N5" s="13"/>
      <c r="O5" s="14"/>
      <c r="P5" s="13"/>
      <c r="Q5" s="13"/>
      <c r="R5" s="13">
        <v>42</v>
      </c>
    </row>
    <row r="6" spans="1:18" x14ac:dyDescent="0.3">
      <c r="A6" s="13" t="s">
        <v>54</v>
      </c>
      <c r="B6" s="14">
        <v>46208.70416666667</v>
      </c>
      <c r="C6" s="15">
        <v>46208</v>
      </c>
      <c r="D6" s="13" t="s">
        <v>40</v>
      </c>
      <c r="E6" s="13" t="s">
        <v>41</v>
      </c>
      <c r="F6" s="13" t="s">
        <v>42</v>
      </c>
      <c r="G6" s="13" t="s">
        <v>43</v>
      </c>
      <c r="H6" s="13" t="s">
        <v>55</v>
      </c>
      <c r="I6" s="13">
        <v>422</v>
      </c>
      <c r="J6" s="14">
        <v>46206.114166666674</v>
      </c>
      <c r="K6" s="16">
        <v>62.16</v>
      </c>
      <c r="L6" s="13" t="b">
        <v>0</v>
      </c>
      <c r="M6" s="13"/>
      <c r="N6" s="13"/>
      <c r="O6" s="14"/>
      <c r="P6" s="13"/>
      <c r="Q6" s="13"/>
      <c r="R6" s="13">
        <v>45</v>
      </c>
    </row>
    <row r="7" spans="1:18" x14ac:dyDescent="0.3">
      <c r="A7" s="13" t="s">
        <v>56</v>
      </c>
      <c r="B7" s="14">
        <v>46209.802777777782</v>
      </c>
      <c r="C7" s="15">
        <v>46209</v>
      </c>
      <c r="D7" s="13" t="s">
        <v>40</v>
      </c>
      <c r="E7" s="13" t="s">
        <v>41</v>
      </c>
      <c r="F7" s="13" t="s">
        <v>42</v>
      </c>
      <c r="G7" s="13" t="s">
        <v>43</v>
      </c>
      <c r="H7" s="13" t="s">
        <v>57</v>
      </c>
      <c r="I7" s="13">
        <v>423</v>
      </c>
      <c r="J7" s="14">
        <v>46207.402777777781</v>
      </c>
      <c r="K7" s="16">
        <v>57.6</v>
      </c>
      <c r="L7" s="13" t="b">
        <v>0</v>
      </c>
      <c r="M7" s="13"/>
      <c r="N7" s="13"/>
      <c r="O7" s="14"/>
      <c r="P7" s="13"/>
      <c r="Q7" s="13"/>
      <c r="R7" s="13">
        <v>56</v>
      </c>
    </row>
    <row r="8" spans="1:18" x14ac:dyDescent="0.3">
      <c r="A8" s="13" t="s">
        <v>58</v>
      </c>
      <c r="B8" s="14">
        <v>46210.584722222222</v>
      </c>
      <c r="C8" s="15">
        <v>46210</v>
      </c>
      <c r="D8" s="13" t="s">
        <v>40</v>
      </c>
      <c r="E8" s="13" t="s">
        <v>41</v>
      </c>
      <c r="F8" s="13" t="s">
        <v>42</v>
      </c>
      <c r="G8" s="13" t="s">
        <v>43</v>
      </c>
      <c r="H8" s="13" t="s">
        <v>59</v>
      </c>
      <c r="I8" s="13">
        <v>424</v>
      </c>
      <c r="J8" s="14">
        <v>46206.827638888892</v>
      </c>
      <c r="K8" s="16">
        <v>90.17</v>
      </c>
      <c r="L8" s="13" t="b">
        <v>0</v>
      </c>
      <c r="M8" s="13"/>
      <c r="N8" s="13"/>
      <c r="O8" s="14"/>
      <c r="P8" s="13"/>
      <c r="Q8" s="13"/>
      <c r="R8" s="13">
        <v>40</v>
      </c>
    </row>
    <row r="9" spans="1:18" x14ac:dyDescent="0.3">
      <c r="A9" s="13" t="s">
        <v>60</v>
      </c>
      <c r="B9" s="14">
        <v>46210.811111111107</v>
      </c>
      <c r="C9" s="15">
        <v>46210</v>
      </c>
      <c r="D9" s="13" t="s">
        <v>40</v>
      </c>
      <c r="E9" s="13" t="s">
        <v>41</v>
      </c>
      <c r="F9" s="13" t="s">
        <v>42</v>
      </c>
      <c r="G9" s="13" t="s">
        <v>43</v>
      </c>
      <c r="H9" s="13" t="s">
        <v>61</v>
      </c>
      <c r="I9" s="13">
        <v>425</v>
      </c>
      <c r="J9" s="14">
        <v>46206.589861111112</v>
      </c>
      <c r="K9" s="16">
        <v>101.31</v>
      </c>
      <c r="L9" s="13" t="b">
        <v>0</v>
      </c>
      <c r="M9" s="13"/>
      <c r="N9" s="13"/>
      <c r="O9" s="14"/>
      <c r="P9" s="13"/>
      <c r="Q9" s="13"/>
      <c r="R9" s="13">
        <v>59</v>
      </c>
    </row>
    <row r="10" spans="1:18" x14ac:dyDescent="0.3">
      <c r="A10" s="13" t="s">
        <v>62</v>
      </c>
      <c r="B10" s="14">
        <v>46212.802777777782</v>
      </c>
      <c r="C10" s="15">
        <v>46212</v>
      </c>
      <c r="D10" s="13" t="s">
        <v>40</v>
      </c>
      <c r="E10" s="13" t="s">
        <v>41</v>
      </c>
      <c r="F10" s="13" t="s">
        <v>42</v>
      </c>
      <c r="G10" s="13" t="s">
        <v>43</v>
      </c>
      <c r="H10" s="13" t="s">
        <v>63</v>
      </c>
      <c r="I10" s="13">
        <v>426</v>
      </c>
      <c r="J10" s="14">
        <v>46210.695694444446</v>
      </c>
      <c r="K10" s="16">
        <v>50.57</v>
      </c>
      <c r="L10" s="13" t="b">
        <v>0</v>
      </c>
      <c r="M10" s="13"/>
      <c r="N10" s="13"/>
      <c r="O10" s="14"/>
      <c r="P10" s="13"/>
      <c r="Q10" s="13"/>
      <c r="R10" s="13">
        <v>49</v>
      </c>
    </row>
    <row r="11" spans="1:18" x14ac:dyDescent="0.3">
      <c r="A11" s="13" t="s">
        <v>64</v>
      </c>
      <c r="B11" s="14">
        <v>46212.837500000001</v>
      </c>
      <c r="C11" s="15">
        <v>46212</v>
      </c>
      <c r="D11" s="13" t="s">
        <v>40</v>
      </c>
      <c r="E11" s="13" t="s">
        <v>41</v>
      </c>
      <c r="F11" s="13" t="s">
        <v>42</v>
      </c>
      <c r="G11" s="13" t="s">
        <v>43</v>
      </c>
      <c r="H11" s="13" t="s">
        <v>65</v>
      </c>
      <c r="I11" s="13">
        <v>429</v>
      </c>
      <c r="J11" s="14">
        <v>46211.864583333343</v>
      </c>
      <c r="K11" s="16">
        <v>23.35</v>
      </c>
      <c r="L11" s="13" t="b">
        <v>0</v>
      </c>
      <c r="M11" s="13"/>
      <c r="N11" s="13"/>
      <c r="O11" s="14"/>
      <c r="P11" s="13"/>
      <c r="Q11" s="13"/>
      <c r="R11" s="13">
        <v>56</v>
      </c>
    </row>
    <row r="12" spans="1:18" x14ac:dyDescent="0.3">
      <c r="A12" s="13" t="s">
        <v>66</v>
      </c>
      <c r="B12" s="14">
        <v>46216.70208333333</v>
      </c>
      <c r="C12" s="15">
        <v>46216</v>
      </c>
      <c r="D12" s="13" t="s">
        <v>40</v>
      </c>
      <c r="E12" s="13" t="s">
        <v>41</v>
      </c>
      <c r="F12" s="13" t="s">
        <v>42</v>
      </c>
      <c r="G12" s="13" t="s">
        <v>43</v>
      </c>
      <c r="H12" s="13" t="s">
        <v>67</v>
      </c>
      <c r="I12" s="13">
        <v>431</v>
      </c>
      <c r="J12" s="14">
        <v>46214.434583333343</v>
      </c>
      <c r="K12" s="16">
        <v>54.42</v>
      </c>
      <c r="L12" s="13" t="b">
        <v>1</v>
      </c>
      <c r="M12" s="13" t="s">
        <v>68</v>
      </c>
      <c r="N12" s="13" t="s">
        <v>69</v>
      </c>
      <c r="O12" s="14">
        <v>46216.808333333327</v>
      </c>
      <c r="P12" s="13">
        <v>153</v>
      </c>
      <c r="Q12" s="13" t="s">
        <v>70</v>
      </c>
      <c r="R12" s="13">
        <v>54</v>
      </c>
    </row>
    <row r="13" spans="1:18" x14ac:dyDescent="0.3">
      <c r="A13" s="13" t="s">
        <v>71</v>
      </c>
      <c r="B13" s="14">
        <v>46218.681944444441</v>
      </c>
      <c r="C13" s="15">
        <v>46218</v>
      </c>
      <c r="D13" s="13" t="s">
        <v>40</v>
      </c>
      <c r="E13" s="13" t="s">
        <v>41</v>
      </c>
      <c r="F13" s="13" t="s">
        <v>42</v>
      </c>
      <c r="G13" s="13" t="s">
        <v>43</v>
      </c>
      <c r="H13" s="13" t="s">
        <v>72</v>
      </c>
      <c r="I13" s="13">
        <v>434</v>
      </c>
      <c r="J13" s="14">
        <v>46214.925694444442</v>
      </c>
      <c r="K13" s="16">
        <v>90.15</v>
      </c>
      <c r="L13" s="13" t="b">
        <v>0</v>
      </c>
      <c r="M13" s="13"/>
      <c r="N13" s="13"/>
      <c r="O13" s="14"/>
      <c r="P13" s="13"/>
      <c r="Q13" s="13"/>
      <c r="R13" s="13">
        <v>42</v>
      </c>
    </row>
    <row r="14" spans="1:18" x14ac:dyDescent="0.3">
      <c r="A14" s="13" t="s">
        <v>73</v>
      </c>
      <c r="B14" s="14">
        <v>46219.776388888888</v>
      </c>
      <c r="C14" s="15">
        <v>46219</v>
      </c>
      <c r="D14" s="13" t="s">
        <v>40</v>
      </c>
      <c r="E14" s="13" t="s">
        <v>41</v>
      </c>
      <c r="F14" s="13" t="s">
        <v>42</v>
      </c>
      <c r="G14" s="13" t="s">
        <v>43</v>
      </c>
      <c r="H14" s="13" t="s">
        <v>74</v>
      </c>
      <c r="I14" s="13">
        <v>437</v>
      </c>
      <c r="J14" s="14">
        <v>46218.277638888889</v>
      </c>
      <c r="K14" s="16">
        <v>35.97</v>
      </c>
      <c r="L14" s="13" t="b">
        <v>0</v>
      </c>
      <c r="M14" s="13"/>
      <c r="N14" s="13"/>
      <c r="O14" s="14"/>
      <c r="P14" s="13"/>
      <c r="Q14" s="13"/>
      <c r="R14" s="13">
        <v>42</v>
      </c>
    </row>
    <row r="15" spans="1:18" x14ac:dyDescent="0.3">
      <c r="A15" s="13" t="s">
        <v>75</v>
      </c>
      <c r="B15" s="14">
        <v>46220.807638888888</v>
      </c>
      <c r="C15" s="15">
        <v>46220</v>
      </c>
      <c r="D15" s="13" t="s">
        <v>40</v>
      </c>
      <c r="E15" s="13" t="s">
        <v>41</v>
      </c>
      <c r="F15" s="13" t="s">
        <v>42</v>
      </c>
      <c r="G15" s="13" t="s">
        <v>43</v>
      </c>
      <c r="H15" s="13" t="s">
        <v>76</v>
      </c>
      <c r="I15" s="13">
        <v>439</v>
      </c>
      <c r="J15" s="14">
        <v>46220.279305555552</v>
      </c>
      <c r="K15" s="16">
        <v>12.68</v>
      </c>
      <c r="L15" s="13" t="b">
        <v>0</v>
      </c>
      <c r="M15" s="13"/>
      <c r="N15" s="13"/>
      <c r="O15" s="14"/>
      <c r="P15" s="13"/>
      <c r="Q15" s="13"/>
      <c r="R15" s="13">
        <v>56</v>
      </c>
    </row>
    <row r="16" spans="1:18" x14ac:dyDescent="0.3">
      <c r="A16" s="13" t="s">
        <v>77</v>
      </c>
      <c r="B16" s="14">
        <v>46221.816666666673</v>
      </c>
      <c r="C16" s="15">
        <v>46221</v>
      </c>
      <c r="D16" s="13" t="s">
        <v>40</v>
      </c>
      <c r="E16" s="13" t="s">
        <v>41</v>
      </c>
      <c r="F16" s="13" t="s">
        <v>42</v>
      </c>
      <c r="G16" s="13" t="s">
        <v>43</v>
      </c>
      <c r="H16" s="13" t="s">
        <v>78</v>
      </c>
      <c r="I16" s="13">
        <v>442</v>
      </c>
      <c r="J16" s="14">
        <v>46219.992083333331</v>
      </c>
      <c r="K16" s="16">
        <v>43.79</v>
      </c>
      <c r="L16" s="13" t="b">
        <v>0</v>
      </c>
      <c r="M16" s="13"/>
      <c r="N16" s="13"/>
      <c r="O16" s="14"/>
      <c r="P16" s="13"/>
      <c r="Q16" s="13"/>
      <c r="R16" s="13">
        <v>48</v>
      </c>
    </row>
    <row r="17" spans="1:18" x14ac:dyDescent="0.3">
      <c r="A17" s="13" t="s">
        <v>79</v>
      </c>
      <c r="B17" s="14">
        <v>46224.549305555563</v>
      </c>
      <c r="C17" s="15">
        <v>46224</v>
      </c>
      <c r="D17" s="13" t="s">
        <v>40</v>
      </c>
      <c r="E17" s="13" t="s">
        <v>41</v>
      </c>
      <c r="F17" s="13" t="s">
        <v>42</v>
      </c>
      <c r="G17" s="13" t="s">
        <v>43</v>
      </c>
      <c r="H17" s="13" t="s">
        <v>80</v>
      </c>
      <c r="I17" s="13">
        <v>443</v>
      </c>
      <c r="J17" s="14">
        <v>46222.063472222217</v>
      </c>
      <c r="K17" s="16">
        <v>59.66</v>
      </c>
      <c r="L17" s="13" t="b">
        <v>1</v>
      </c>
      <c r="M17" s="13" t="s">
        <v>49</v>
      </c>
      <c r="N17" s="13" t="s">
        <v>81</v>
      </c>
      <c r="O17" s="14">
        <v>46224.911805555559</v>
      </c>
      <c r="P17" s="13">
        <v>522</v>
      </c>
      <c r="Q17" s="13" t="s">
        <v>51</v>
      </c>
      <c r="R17" s="13">
        <v>53</v>
      </c>
    </row>
    <row r="18" spans="1:18" x14ac:dyDescent="0.3">
      <c r="A18" s="13" t="s">
        <v>82</v>
      </c>
      <c r="B18" s="14">
        <v>46224.934027777781</v>
      </c>
      <c r="C18" s="15">
        <v>46224</v>
      </c>
      <c r="D18" s="13" t="s">
        <v>40</v>
      </c>
      <c r="E18" s="13" t="s">
        <v>41</v>
      </c>
      <c r="F18" s="13" t="s">
        <v>42</v>
      </c>
      <c r="G18" s="13" t="s">
        <v>43</v>
      </c>
      <c r="H18" s="13" t="s">
        <v>83</v>
      </c>
      <c r="I18" s="13">
        <v>445</v>
      </c>
      <c r="J18" s="14">
        <v>46224.178611111107</v>
      </c>
      <c r="K18" s="16">
        <v>18.13</v>
      </c>
      <c r="L18" s="13" t="b">
        <v>1</v>
      </c>
      <c r="M18" s="13" t="s">
        <v>68</v>
      </c>
      <c r="N18" s="13" t="s">
        <v>84</v>
      </c>
      <c r="O18" s="14">
        <v>46225.370138888888</v>
      </c>
      <c r="P18" s="13">
        <v>628</v>
      </c>
      <c r="Q18" s="13" t="s">
        <v>70</v>
      </c>
      <c r="R18" s="13">
        <v>56</v>
      </c>
    </row>
    <row r="19" spans="1:18" x14ac:dyDescent="0.3">
      <c r="A19" s="13" t="s">
        <v>85</v>
      </c>
      <c r="B19" s="14">
        <v>46225.654166666667</v>
      </c>
      <c r="C19" s="15">
        <v>46225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86</v>
      </c>
      <c r="I19" s="13">
        <v>448</v>
      </c>
      <c r="J19" s="14">
        <v>46224.119166666656</v>
      </c>
      <c r="K19" s="16">
        <v>36.840000000000003</v>
      </c>
      <c r="L19" s="13" t="b">
        <v>0</v>
      </c>
      <c r="M19" s="13"/>
      <c r="N19" s="13"/>
      <c r="O19" s="14"/>
      <c r="P19" s="13"/>
      <c r="Q19" s="13"/>
      <c r="R19" s="13">
        <v>56</v>
      </c>
    </row>
    <row r="20" spans="1:18" x14ac:dyDescent="0.3">
      <c r="A20" s="13" t="s">
        <v>87</v>
      </c>
      <c r="B20" s="14">
        <v>46227.542361111111</v>
      </c>
      <c r="C20" s="15">
        <v>46227</v>
      </c>
      <c r="D20" s="13" t="s">
        <v>40</v>
      </c>
      <c r="E20" s="13" t="s">
        <v>41</v>
      </c>
      <c r="F20" s="13" t="s">
        <v>42</v>
      </c>
      <c r="G20" s="13" t="s">
        <v>43</v>
      </c>
      <c r="H20" s="13" t="s">
        <v>88</v>
      </c>
      <c r="I20" s="13">
        <v>451</v>
      </c>
      <c r="J20" s="14">
        <v>46226.545277777783</v>
      </c>
      <c r="K20" s="16">
        <v>23.93</v>
      </c>
      <c r="L20" s="13" t="b">
        <v>1</v>
      </c>
      <c r="M20" s="13" t="s">
        <v>89</v>
      </c>
      <c r="N20" s="13" t="s">
        <v>90</v>
      </c>
      <c r="O20" s="14">
        <v>46227.606249999997</v>
      </c>
      <c r="P20" s="13">
        <v>92</v>
      </c>
      <c r="Q20" s="13" t="s">
        <v>70</v>
      </c>
      <c r="R20" s="13">
        <v>56</v>
      </c>
    </row>
    <row r="21" spans="1:18" x14ac:dyDescent="0.3">
      <c r="A21" s="13" t="s">
        <v>91</v>
      </c>
      <c r="B21" s="14">
        <v>46227.568055555559</v>
      </c>
      <c r="C21" s="15">
        <v>46227</v>
      </c>
      <c r="D21" s="13" t="s">
        <v>40</v>
      </c>
      <c r="E21" s="13" t="s">
        <v>41</v>
      </c>
      <c r="F21" s="13" t="s">
        <v>42</v>
      </c>
      <c r="G21" s="13" t="s">
        <v>43</v>
      </c>
      <c r="H21" s="13" t="s">
        <v>92</v>
      </c>
      <c r="I21" s="13">
        <v>453</v>
      </c>
      <c r="J21" s="14">
        <v>46225.585972222223</v>
      </c>
      <c r="K21" s="16">
        <v>47.57</v>
      </c>
      <c r="L21" s="13" t="b">
        <v>0</v>
      </c>
      <c r="M21" s="13"/>
      <c r="N21" s="13"/>
      <c r="O21" s="14"/>
      <c r="P21" s="13"/>
      <c r="Q21" s="13"/>
      <c r="R21" s="13">
        <v>44</v>
      </c>
    </row>
    <row r="22" spans="1:18" x14ac:dyDescent="0.3">
      <c r="A22" s="13" t="s">
        <v>93</v>
      </c>
      <c r="B22" s="14">
        <v>46227.651388888888</v>
      </c>
      <c r="C22" s="15">
        <v>46227</v>
      </c>
      <c r="D22" s="13" t="s">
        <v>40</v>
      </c>
      <c r="E22" s="13" t="s">
        <v>41</v>
      </c>
      <c r="F22" s="13" t="s">
        <v>42</v>
      </c>
      <c r="G22" s="13" t="s">
        <v>43</v>
      </c>
      <c r="H22" s="13" t="s">
        <v>94</v>
      </c>
      <c r="I22" s="13">
        <v>456</v>
      </c>
      <c r="J22" s="14">
        <v>46222.544305555559</v>
      </c>
      <c r="K22" s="16">
        <v>122.57</v>
      </c>
      <c r="L22" s="13" t="b">
        <v>0</v>
      </c>
      <c r="M22" s="13"/>
      <c r="N22" s="13"/>
      <c r="O22" s="14"/>
      <c r="P22" s="13"/>
      <c r="Q22" s="13"/>
      <c r="R22" s="13">
        <v>58</v>
      </c>
    </row>
    <row r="23" spans="1:18" x14ac:dyDescent="0.3">
      <c r="A23" s="13" t="s">
        <v>95</v>
      </c>
      <c r="B23" s="14">
        <v>46227.822222222218</v>
      </c>
      <c r="C23" s="15">
        <v>46227</v>
      </c>
      <c r="D23" s="13" t="s">
        <v>40</v>
      </c>
      <c r="E23" s="13" t="s">
        <v>41</v>
      </c>
      <c r="F23" s="13" t="s">
        <v>42</v>
      </c>
      <c r="G23" s="13" t="s">
        <v>43</v>
      </c>
      <c r="H23" s="13" t="s">
        <v>96</v>
      </c>
      <c r="I23" s="13">
        <v>458</v>
      </c>
      <c r="J23" s="14">
        <v>46226.572638888887</v>
      </c>
      <c r="K23" s="16">
        <v>29.99</v>
      </c>
      <c r="L23" s="13" t="b">
        <v>0</v>
      </c>
      <c r="M23" s="13"/>
      <c r="N23" s="13"/>
      <c r="O23" s="14"/>
      <c r="P23" s="13"/>
      <c r="Q23" s="13"/>
      <c r="R23" s="13">
        <v>60</v>
      </c>
    </row>
    <row r="24" spans="1:18" x14ac:dyDescent="0.3">
      <c r="A24" s="13" t="s">
        <v>97</v>
      </c>
      <c r="B24" s="14">
        <v>46230.581944444442</v>
      </c>
      <c r="C24" s="15">
        <v>46230</v>
      </c>
      <c r="D24" s="13" t="s">
        <v>40</v>
      </c>
      <c r="E24" s="13" t="s">
        <v>41</v>
      </c>
      <c r="F24" s="13" t="s">
        <v>42</v>
      </c>
      <c r="G24" s="13" t="s">
        <v>43</v>
      </c>
      <c r="H24" s="13" t="s">
        <v>98</v>
      </c>
      <c r="I24" s="13">
        <v>461</v>
      </c>
      <c r="J24" s="14">
        <v>46229.952777777777</v>
      </c>
      <c r="K24" s="16">
        <v>15.1</v>
      </c>
      <c r="L24" s="13" t="b">
        <v>0</v>
      </c>
      <c r="M24" s="13"/>
      <c r="N24" s="13"/>
      <c r="O24" s="14"/>
      <c r="P24" s="13"/>
      <c r="Q24" s="13"/>
      <c r="R24" s="13">
        <v>53</v>
      </c>
    </row>
    <row r="25" spans="1:18" x14ac:dyDescent="0.3">
      <c r="A25" s="13" t="s">
        <v>99</v>
      </c>
      <c r="B25" s="14">
        <v>46231.670138888891</v>
      </c>
      <c r="C25" s="15">
        <v>46231</v>
      </c>
      <c r="D25" s="13" t="s">
        <v>40</v>
      </c>
      <c r="E25" s="13" t="s">
        <v>41</v>
      </c>
      <c r="F25" s="13" t="s">
        <v>42</v>
      </c>
      <c r="G25" s="13" t="s">
        <v>43</v>
      </c>
      <c r="H25" s="13" t="s">
        <v>100</v>
      </c>
      <c r="I25" s="13">
        <v>463</v>
      </c>
      <c r="J25" s="14">
        <v>46230.524305555547</v>
      </c>
      <c r="K25" s="16">
        <v>27.5</v>
      </c>
      <c r="L25" s="13" t="b">
        <v>0</v>
      </c>
      <c r="M25" s="13"/>
      <c r="N25" s="13"/>
      <c r="O25" s="14"/>
      <c r="P25" s="13"/>
      <c r="Q25" s="13"/>
      <c r="R25" s="13">
        <v>56</v>
      </c>
    </row>
    <row r="26" spans="1:18" x14ac:dyDescent="0.3">
      <c r="A26" s="13" t="s">
        <v>101</v>
      </c>
      <c r="B26" s="14">
        <v>46231.732638888891</v>
      </c>
      <c r="C26" s="15">
        <v>46231</v>
      </c>
      <c r="D26" s="13" t="s">
        <v>40</v>
      </c>
      <c r="E26" s="13" t="s">
        <v>41</v>
      </c>
      <c r="F26" s="13" t="s">
        <v>42</v>
      </c>
      <c r="G26" s="13" t="s">
        <v>43</v>
      </c>
      <c r="H26" s="13" t="s">
        <v>102</v>
      </c>
      <c r="I26" s="13">
        <v>466</v>
      </c>
      <c r="J26" s="14">
        <v>46227.68472222222</v>
      </c>
      <c r="K26" s="16">
        <v>97.15</v>
      </c>
      <c r="L26" s="13" t="b">
        <v>0</v>
      </c>
      <c r="M26" s="13"/>
      <c r="N26" s="13"/>
      <c r="O26" s="14"/>
      <c r="P26" s="13"/>
      <c r="Q26" s="13"/>
      <c r="R26" s="13">
        <v>45</v>
      </c>
    </row>
    <row r="27" spans="1:18" x14ac:dyDescent="0.3">
      <c r="A27" s="13" t="s">
        <v>103</v>
      </c>
      <c r="B27" s="14">
        <v>46232.620833333327</v>
      </c>
      <c r="C27" s="15">
        <v>46232</v>
      </c>
      <c r="D27" s="13" t="s">
        <v>40</v>
      </c>
      <c r="E27" s="13" t="s">
        <v>41</v>
      </c>
      <c r="F27" s="13" t="s">
        <v>42</v>
      </c>
      <c r="G27" s="13" t="s">
        <v>43</v>
      </c>
      <c r="H27" s="13" t="s">
        <v>104</v>
      </c>
      <c r="I27" s="13">
        <v>468</v>
      </c>
      <c r="J27" s="14">
        <v>46228.722500000003</v>
      </c>
      <c r="K27" s="16">
        <v>93.56</v>
      </c>
      <c r="L27" s="13" t="b">
        <v>1</v>
      </c>
      <c r="M27" s="13" t="s">
        <v>89</v>
      </c>
      <c r="N27" s="13" t="s">
        <v>105</v>
      </c>
      <c r="O27" s="14">
        <v>46232.776388888888</v>
      </c>
      <c r="P27" s="13">
        <v>224</v>
      </c>
      <c r="Q27" s="13" t="s">
        <v>70</v>
      </c>
      <c r="R27" s="13">
        <v>48</v>
      </c>
    </row>
    <row r="28" spans="1:18" x14ac:dyDescent="0.3">
      <c r="A28" s="13" t="s">
        <v>106</v>
      </c>
      <c r="B28" s="14">
        <v>46232.945833333331</v>
      </c>
      <c r="C28" s="15">
        <v>46232</v>
      </c>
      <c r="D28" s="13" t="s">
        <v>40</v>
      </c>
      <c r="E28" s="13" t="s">
        <v>41</v>
      </c>
      <c r="F28" s="13" t="s">
        <v>42</v>
      </c>
      <c r="G28" s="13" t="s">
        <v>43</v>
      </c>
      <c r="H28" s="13" t="s">
        <v>107</v>
      </c>
      <c r="I28" s="13">
        <v>469</v>
      </c>
      <c r="J28" s="14">
        <v>46229.700833333343</v>
      </c>
      <c r="K28" s="16">
        <v>77.88</v>
      </c>
      <c r="L28" s="13" t="b">
        <v>1</v>
      </c>
      <c r="M28" s="13" t="s">
        <v>49</v>
      </c>
      <c r="N28" s="13" t="s">
        <v>108</v>
      </c>
      <c r="O28" s="14">
        <v>46233.26458333333</v>
      </c>
      <c r="P28" s="13">
        <v>459</v>
      </c>
      <c r="Q28" s="13" t="s">
        <v>70</v>
      </c>
      <c r="R28" s="13">
        <v>38</v>
      </c>
    </row>
    <row r="29" spans="1:18" x14ac:dyDescent="0.3">
      <c r="A29" s="13" t="s">
        <v>109</v>
      </c>
      <c r="B29" s="14">
        <v>46233.579861111109</v>
      </c>
      <c r="C29" s="15">
        <v>46233</v>
      </c>
      <c r="D29" s="13" t="s">
        <v>40</v>
      </c>
      <c r="E29" s="13" t="s">
        <v>41</v>
      </c>
      <c r="F29" s="13" t="s">
        <v>42</v>
      </c>
      <c r="G29" s="13" t="s">
        <v>43</v>
      </c>
      <c r="H29" s="13" t="s">
        <v>110</v>
      </c>
      <c r="I29" s="13">
        <v>471</v>
      </c>
      <c r="J29" s="14">
        <v>46232.229444444441</v>
      </c>
      <c r="K29" s="16">
        <v>32.409999999999997</v>
      </c>
      <c r="L29" s="13" t="b">
        <v>0</v>
      </c>
      <c r="M29" s="13"/>
      <c r="N29" s="13"/>
      <c r="O29" s="14"/>
      <c r="P29" s="13"/>
      <c r="Q29" s="13"/>
      <c r="R29" s="13">
        <v>44</v>
      </c>
    </row>
    <row r="30" spans="1:18" x14ac:dyDescent="0.3">
      <c r="A30" s="13" t="s">
        <v>111</v>
      </c>
      <c r="B30" s="14">
        <v>46233.647222222222</v>
      </c>
      <c r="C30" s="15">
        <v>46233</v>
      </c>
      <c r="D30" s="13" t="s">
        <v>40</v>
      </c>
      <c r="E30" s="13" t="s">
        <v>41</v>
      </c>
      <c r="F30" s="13" t="s">
        <v>42</v>
      </c>
      <c r="G30" s="13" t="s">
        <v>43</v>
      </c>
      <c r="H30" s="13" t="s">
        <v>112</v>
      </c>
      <c r="I30" s="13">
        <v>472</v>
      </c>
      <c r="J30" s="14">
        <v>46232.742638888893</v>
      </c>
      <c r="K30" s="16">
        <v>21.71</v>
      </c>
      <c r="L30" s="13" t="b">
        <v>0</v>
      </c>
      <c r="M30" s="13"/>
      <c r="N30" s="13"/>
      <c r="O30" s="14"/>
      <c r="P30" s="13"/>
      <c r="Q30" s="13"/>
      <c r="R30" s="13">
        <v>53</v>
      </c>
    </row>
    <row r="31" spans="1:18" x14ac:dyDescent="0.3">
      <c r="A31" s="13" t="s">
        <v>113</v>
      </c>
      <c r="B31" s="14">
        <v>46237.54583333333</v>
      </c>
      <c r="C31" s="15">
        <v>46237</v>
      </c>
      <c r="D31" s="13" t="s">
        <v>114</v>
      </c>
      <c r="E31" s="13" t="s">
        <v>115</v>
      </c>
      <c r="F31" s="13" t="s">
        <v>42</v>
      </c>
      <c r="G31" s="13" t="s">
        <v>43</v>
      </c>
      <c r="H31" s="13" t="s">
        <v>116</v>
      </c>
      <c r="I31" s="13">
        <v>474</v>
      </c>
      <c r="J31" s="14">
        <v>46235.278333333343</v>
      </c>
      <c r="K31" s="16">
        <v>54.42</v>
      </c>
      <c r="L31" s="13" t="b">
        <v>0</v>
      </c>
      <c r="M31" s="13"/>
      <c r="N31" s="13"/>
      <c r="O31" s="14"/>
      <c r="P31" s="13"/>
      <c r="Q31" s="13"/>
      <c r="R31" s="13">
        <v>26</v>
      </c>
    </row>
    <row r="32" spans="1:18" x14ac:dyDescent="0.3">
      <c r="A32" s="13" t="s">
        <v>117</v>
      </c>
      <c r="B32" s="14">
        <v>46237.686805555553</v>
      </c>
      <c r="C32" s="15">
        <v>46237</v>
      </c>
      <c r="D32" s="13" t="s">
        <v>114</v>
      </c>
      <c r="E32" s="13" t="s">
        <v>115</v>
      </c>
      <c r="F32" s="13" t="s">
        <v>42</v>
      </c>
      <c r="G32" s="13" t="s">
        <v>43</v>
      </c>
      <c r="H32" s="13" t="s">
        <v>118</v>
      </c>
      <c r="I32" s="13">
        <v>477</v>
      </c>
      <c r="J32" s="14">
        <v>46237.304722222223</v>
      </c>
      <c r="K32" s="16">
        <v>9.17</v>
      </c>
      <c r="L32" s="13" t="b">
        <v>0</v>
      </c>
      <c r="M32" s="13"/>
      <c r="N32" s="13"/>
      <c r="O32" s="14"/>
      <c r="P32" s="13"/>
      <c r="Q32" s="13"/>
      <c r="R32" s="13">
        <v>18</v>
      </c>
    </row>
    <row r="33" spans="1:18" x14ac:dyDescent="0.3">
      <c r="A33" s="13" t="s">
        <v>119</v>
      </c>
      <c r="B33" s="14">
        <v>46237.825694444437</v>
      </c>
      <c r="C33" s="15">
        <v>46237</v>
      </c>
      <c r="D33" s="13" t="s">
        <v>114</v>
      </c>
      <c r="E33" s="13" t="s">
        <v>115</v>
      </c>
      <c r="F33" s="13" t="s">
        <v>42</v>
      </c>
      <c r="G33" s="13" t="s">
        <v>43</v>
      </c>
      <c r="H33" s="13" t="s">
        <v>120</v>
      </c>
      <c r="I33" s="13">
        <v>479</v>
      </c>
      <c r="J33" s="14">
        <v>46236.079861111109</v>
      </c>
      <c r="K33" s="16">
        <v>41.9</v>
      </c>
      <c r="L33" s="13" t="b">
        <v>0</v>
      </c>
      <c r="M33" s="13"/>
      <c r="N33" s="13"/>
      <c r="O33" s="14"/>
      <c r="P33" s="13"/>
      <c r="Q33" s="13"/>
      <c r="R33" s="13">
        <v>30</v>
      </c>
    </row>
    <row r="34" spans="1:18" x14ac:dyDescent="0.3">
      <c r="A34" s="13" t="s">
        <v>121</v>
      </c>
      <c r="B34" s="14">
        <v>46238.666666666657</v>
      </c>
      <c r="C34" s="15">
        <v>46238</v>
      </c>
      <c r="D34" s="13" t="s">
        <v>114</v>
      </c>
      <c r="E34" s="13" t="s">
        <v>115</v>
      </c>
      <c r="F34" s="13" t="s">
        <v>42</v>
      </c>
      <c r="G34" s="13" t="s">
        <v>43</v>
      </c>
      <c r="H34" s="13" t="s">
        <v>122</v>
      </c>
      <c r="I34" s="13">
        <v>480</v>
      </c>
      <c r="J34" s="14">
        <v>46233.953750000001</v>
      </c>
      <c r="K34" s="16">
        <v>113.11</v>
      </c>
      <c r="L34" s="13" t="b">
        <v>0</v>
      </c>
      <c r="M34" s="13"/>
      <c r="N34" s="13"/>
      <c r="O34" s="14"/>
      <c r="P34" s="13"/>
      <c r="Q34" s="13"/>
      <c r="R34" s="13">
        <v>18</v>
      </c>
    </row>
    <row r="35" spans="1:18" x14ac:dyDescent="0.3">
      <c r="A35" s="13" t="s">
        <v>123</v>
      </c>
      <c r="B35" s="14">
        <v>46238.666666666657</v>
      </c>
      <c r="C35" s="15">
        <v>46238</v>
      </c>
      <c r="D35" s="13" t="s">
        <v>114</v>
      </c>
      <c r="E35" s="13" t="s">
        <v>115</v>
      </c>
      <c r="F35" s="13" t="s">
        <v>42</v>
      </c>
      <c r="G35" s="13" t="s">
        <v>43</v>
      </c>
      <c r="H35" s="13" t="s">
        <v>124</v>
      </c>
      <c r="I35" s="13">
        <v>482</v>
      </c>
      <c r="J35" s="14">
        <v>46237.868750000001</v>
      </c>
      <c r="K35" s="16">
        <v>19.149999999999999</v>
      </c>
      <c r="L35" s="13" t="b">
        <v>1</v>
      </c>
      <c r="M35" s="13" t="s">
        <v>68</v>
      </c>
      <c r="N35" s="13" t="s">
        <v>125</v>
      </c>
      <c r="O35" s="14">
        <v>46238.704861111109</v>
      </c>
      <c r="P35" s="13">
        <v>55</v>
      </c>
      <c r="Q35" s="13" t="s">
        <v>51</v>
      </c>
      <c r="R35" s="13">
        <v>17</v>
      </c>
    </row>
    <row r="36" spans="1:18" x14ac:dyDescent="0.3">
      <c r="A36" s="13" t="s">
        <v>126</v>
      </c>
      <c r="B36" s="14">
        <v>46238.82708333333</v>
      </c>
      <c r="C36" s="15">
        <v>46238</v>
      </c>
      <c r="D36" s="13" t="s">
        <v>114</v>
      </c>
      <c r="E36" s="13" t="s">
        <v>115</v>
      </c>
      <c r="F36" s="13" t="s">
        <v>42</v>
      </c>
      <c r="G36" s="13" t="s">
        <v>43</v>
      </c>
      <c r="H36" s="13" t="s">
        <v>127</v>
      </c>
      <c r="I36" s="13">
        <v>485</v>
      </c>
      <c r="J36" s="14">
        <v>46238.337500000001</v>
      </c>
      <c r="K36" s="16">
        <v>11.75</v>
      </c>
      <c r="L36" s="13" t="b">
        <v>0</v>
      </c>
      <c r="M36" s="13"/>
      <c r="N36" s="13"/>
      <c r="O36" s="14"/>
      <c r="P36" s="13"/>
      <c r="Q36" s="13"/>
      <c r="R36" s="13">
        <v>16</v>
      </c>
    </row>
    <row r="37" spans="1:18" x14ac:dyDescent="0.3">
      <c r="A37" s="13" t="s">
        <v>128</v>
      </c>
      <c r="B37" s="14">
        <v>46238.847222222219</v>
      </c>
      <c r="C37" s="15">
        <v>46238</v>
      </c>
      <c r="D37" s="13" t="s">
        <v>114</v>
      </c>
      <c r="E37" s="13" t="s">
        <v>115</v>
      </c>
      <c r="F37" s="13" t="s">
        <v>42</v>
      </c>
      <c r="G37" s="13" t="s">
        <v>43</v>
      </c>
      <c r="H37" s="13" t="s">
        <v>129</v>
      </c>
      <c r="I37" s="13">
        <v>487</v>
      </c>
      <c r="J37" s="14">
        <v>46237.705138888887</v>
      </c>
      <c r="K37" s="16">
        <v>27.41</v>
      </c>
      <c r="L37" s="13" t="b">
        <v>0</v>
      </c>
      <c r="M37" s="13"/>
      <c r="N37" s="13"/>
      <c r="O37" s="14"/>
      <c r="P37" s="13"/>
      <c r="Q37" s="13"/>
      <c r="R37" s="13">
        <v>16</v>
      </c>
    </row>
    <row r="38" spans="1:18" x14ac:dyDescent="0.3">
      <c r="A38" s="13" t="s">
        <v>130</v>
      </c>
      <c r="B38" s="14">
        <v>46239.701388888891</v>
      </c>
      <c r="C38" s="15">
        <v>46239</v>
      </c>
      <c r="D38" s="13" t="s">
        <v>114</v>
      </c>
      <c r="E38" s="13" t="s">
        <v>115</v>
      </c>
      <c r="F38" s="13" t="s">
        <v>42</v>
      </c>
      <c r="G38" s="13" t="s">
        <v>43</v>
      </c>
      <c r="H38" s="13" t="s">
        <v>131</v>
      </c>
      <c r="I38" s="13">
        <v>488</v>
      </c>
      <c r="J38" s="14">
        <v>46239.467222222222</v>
      </c>
      <c r="K38" s="16">
        <v>5.62</v>
      </c>
      <c r="L38" s="13" t="b">
        <v>0</v>
      </c>
      <c r="M38" s="13"/>
      <c r="N38" s="13"/>
      <c r="O38" s="14"/>
      <c r="P38" s="13"/>
      <c r="Q38" s="13"/>
      <c r="R38" s="13">
        <v>25</v>
      </c>
    </row>
    <row r="39" spans="1:18" x14ac:dyDescent="0.3">
      <c r="A39" s="13" t="s">
        <v>132</v>
      </c>
      <c r="B39" s="14">
        <v>46240.633333333331</v>
      </c>
      <c r="C39" s="15">
        <v>46240</v>
      </c>
      <c r="D39" s="13" t="s">
        <v>114</v>
      </c>
      <c r="E39" s="13" t="s">
        <v>115</v>
      </c>
      <c r="F39" s="13" t="s">
        <v>42</v>
      </c>
      <c r="G39" s="13" t="s">
        <v>43</v>
      </c>
      <c r="H39" s="13" t="s">
        <v>133</v>
      </c>
      <c r="I39" s="13">
        <v>491</v>
      </c>
      <c r="J39" s="14">
        <v>46240.261250000003</v>
      </c>
      <c r="K39" s="16">
        <v>8.93</v>
      </c>
      <c r="L39" s="13" t="b">
        <v>0</v>
      </c>
      <c r="M39" s="13"/>
      <c r="N39" s="13"/>
      <c r="O39" s="14"/>
      <c r="P39" s="13"/>
      <c r="Q39" s="13"/>
      <c r="R39" s="13">
        <v>20</v>
      </c>
    </row>
    <row r="40" spans="1:18" x14ac:dyDescent="0.3">
      <c r="A40" s="13" t="s">
        <v>134</v>
      </c>
      <c r="B40" s="14">
        <v>46240.671527777777</v>
      </c>
      <c r="C40" s="15">
        <v>46240</v>
      </c>
      <c r="D40" s="13" t="s">
        <v>114</v>
      </c>
      <c r="E40" s="13" t="s">
        <v>115</v>
      </c>
      <c r="F40" s="13" t="s">
        <v>42</v>
      </c>
      <c r="G40" s="13" t="s">
        <v>43</v>
      </c>
      <c r="H40" s="13" t="s">
        <v>135</v>
      </c>
      <c r="I40" s="13">
        <v>493</v>
      </c>
      <c r="J40" s="14">
        <v>46239.309861111113</v>
      </c>
      <c r="K40" s="16">
        <v>32.68</v>
      </c>
      <c r="L40" s="13" t="b">
        <v>0</v>
      </c>
      <c r="M40" s="13"/>
      <c r="N40" s="13"/>
      <c r="O40" s="14"/>
      <c r="P40" s="13"/>
      <c r="Q40" s="13"/>
      <c r="R40" s="13">
        <v>30</v>
      </c>
    </row>
    <row r="41" spans="1:18" x14ac:dyDescent="0.3">
      <c r="A41" s="13" t="s">
        <v>136</v>
      </c>
      <c r="B41" s="14">
        <v>46241.62777777778</v>
      </c>
      <c r="C41" s="15">
        <v>46241</v>
      </c>
      <c r="D41" s="13" t="s">
        <v>114</v>
      </c>
      <c r="E41" s="13" t="s">
        <v>115</v>
      </c>
      <c r="F41" s="13" t="s">
        <v>42</v>
      </c>
      <c r="G41" s="13" t="s">
        <v>43</v>
      </c>
      <c r="H41" s="13" t="s">
        <v>137</v>
      </c>
      <c r="I41" s="13">
        <v>496</v>
      </c>
      <c r="J41" s="14">
        <v>46241.139444444438</v>
      </c>
      <c r="K41" s="16">
        <v>11.72</v>
      </c>
      <c r="L41" s="13" t="b">
        <v>0</v>
      </c>
      <c r="M41" s="13"/>
      <c r="N41" s="13"/>
      <c r="O41" s="14"/>
      <c r="P41" s="13"/>
      <c r="Q41" s="13"/>
      <c r="R41" s="13">
        <v>20</v>
      </c>
    </row>
    <row r="42" spans="1:18" x14ac:dyDescent="0.3">
      <c r="A42" s="13" t="s">
        <v>138</v>
      </c>
      <c r="B42" s="14">
        <v>46241.875694444447</v>
      </c>
      <c r="C42" s="15">
        <v>46241</v>
      </c>
      <c r="D42" s="13" t="s">
        <v>114</v>
      </c>
      <c r="E42" s="13" t="s">
        <v>115</v>
      </c>
      <c r="F42" s="13" t="s">
        <v>42</v>
      </c>
      <c r="G42" s="13" t="s">
        <v>43</v>
      </c>
      <c r="H42" s="13" t="s">
        <v>139</v>
      </c>
      <c r="I42" s="13">
        <v>498</v>
      </c>
      <c r="J42" s="14">
        <v>46241.045694444438</v>
      </c>
      <c r="K42" s="16">
        <v>19.920000000000002</v>
      </c>
      <c r="L42" s="13" t="b">
        <v>0</v>
      </c>
      <c r="M42" s="13"/>
      <c r="N42" s="13"/>
      <c r="O42" s="14"/>
      <c r="P42" s="13"/>
      <c r="Q42" s="13"/>
      <c r="R42" s="13">
        <v>22</v>
      </c>
    </row>
    <row r="43" spans="1:18" x14ac:dyDescent="0.3">
      <c r="A43" s="13" t="s">
        <v>140</v>
      </c>
      <c r="B43" s="14">
        <v>46244.584027777782</v>
      </c>
      <c r="C43" s="15">
        <v>46244</v>
      </c>
      <c r="D43" s="13" t="s">
        <v>114</v>
      </c>
      <c r="E43" s="13" t="s">
        <v>115</v>
      </c>
      <c r="F43" s="13" t="s">
        <v>42</v>
      </c>
      <c r="G43" s="13" t="s">
        <v>43</v>
      </c>
      <c r="H43" s="13" t="s">
        <v>141</v>
      </c>
      <c r="I43" s="13">
        <v>499</v>
      </c>
      <c r="J43" s="14">
        <v>46243.870694444442</v>
      </c>
      <c r="K43" s="16">
        <v>17.12</v>
      </c>
      <c r="L43" s="13" t="b">
        <v>0</v>
      </c>
      <c r="M43" s="13"/>
      <c r="N43" s="13"/>
      <c r="O43" s="14"/>
      <c r="P43" s="13"/>
      <c r="Q43" s="13"/>
      <c r="R43" s="13">
        <v>15</v>
      </c>
    </row>
    <row r="44" spans="1:18" x14ac:dyDescent="0.3">
      <c r="A44" s="13" t="s">
        <v>142</v>
      </c>
      <c r="B44" s="14">
        <v>46245.802777777782</v>
      </c>
      <c r="C44" s="15">
        <v>46245</v>
      </c>
      <c r="D44" s="13" t="s">
        <v>114</v>
      </c>
      <c r="E44" s="13" t="s">
        <v>115</v>
      </c>
      <c r="F44" s="13" t="s">
        <v>42</v>
      </c>
      <c r="G44" s="13" t="s">
        <v>43</v>
      </c>
      <c r="H44" s="13" t="s">
        <v>143</v>
      </c>
      <c r="I44" s="13">
        <v>500</v>
      </c>
      <c r="J44" s="14">
        <v>46244.748194444437</v>
      </c>
      <c r="K44" s="16">
        <v>25.31</v>
      </c>
      <c r="L44" s="13" t="b">
        <v>0</v>
      </c>
      <c r="M44" s="13"/>
      <c r="N44" s="13"/>
      <c r="O44" s="14"/>
      <c r="P44" s="13"/>
      <c r="Q44" s="13"/>
      <c r="R44" s="13">
        <v>20</v>
      </c>
    </row>
    <row r="45" spans="1:18" x14ac:dyDescent="0.3">
      <c r="A45" s="13" t="s">
        <v>144</v>
      </c>
      <c r="B45" s="14">
        <v>46247.703472222223</v>
      </c>
      <c r="C45" s="15">
        <v>46247</v>
      </c>
      <c r="D45" s="13" t="s">
        <v>114</v>
      </c>
      <c r="E45" s="13" t="s">
        <v>115</v>
      </c>
      <c r="F45" s="13" t="s">
        <v>42</v>
      </c>
      <c r="G45" s="13" t="s">
        <v>43</v>
      </c>
      <c r="H45" s="13" t="s">
        <v>145</v>
      </c>
      <c r="I45" s="13">
        <v>503</v>
      </c>
      <c r="J45" s="14">
        <v>46244.30097222222</v>
      </c>
      <c r="K45" s="16">
        <v>81.66</v>
      </c>
      <c r="L45" s="13" t="b">
        <v>0</v>
      </c>
      <c r="M45" s="13"/>
      <c r="N45" s="13"/>
      <c r="O45" s="14"/>
      <c r="P45" s="13"/>
      <c r="Q45" s="13"/>
      <c r="R45" s="13">
        <v>24</v>
      </c>
    </row>
    <row r="46" spans="1:18" x14ac:dyDescent="0.3">
      <c r="A46" s="13" t="s">
        <v>146</v>
      </c>
      <c r="B46" s="14">
        <v>46247.798611111109</v>
      </c>
      <c r="C46" s="15">
        <v>46247</v>
      </c>
      <c r="D46" s="13" t="s">
        <v>114</v>
      </c>
      <c r="E46" s="13" t="s">
        <v>115</v>
      </c>
      <c r="F46" s="13" t="s">
        <v>42</v>
      </c>
      <c r="G46" s="13" t="s">
        <v>43</v>
      </c>
      <c r="H46" s="13" t="s">
        <v>147</v>
      </c>
      <c r="I46" s="13">
        <v>506</v>
      </c>
      <c r="J46" s="14">
        <v>46247.209861111107</v>
      </c>
      <c r="K46" s="16">
        <v>14.13</v>
      </c>
      <c r="L46" s="13" t="b">
        <v>0</v>
      </c>
      <c r="M46" s="13"/>
      <c r="N46" s="13"/>
      <c r="O46" s="14"/>
      <c r="P46" s="13"/>
      <c r="Q46" s="13"/>
      <c r="R46" s="13">
        <v>16</v>
      </c>
    </row>
    <row r="47" spans="1:18" x14ac:dyDescent="0.3">
      <c r="A47" s="13" t="s">
        <v>148</v>
      </c>
      <c r="B47" s="14">
        <v>46247.80972222222</v>
      </c>
      <c r="C47" s="15">
        <v>46247</v>
      </c>
      <c r="D47" s="13" t="s">
        <v>114</v>
      </c>
      <c r="E47" s="13" t="s">
        <v>115</v>
      </c>
      <c r="F47" s="13" t="s">
        <v>42</v>
      </c>
      <c r="G47" s="13" t="s">
        <v>43</v>
      </c>
      <c r="H47" s="13" t="s">
        <v>149</v>
      </c>
      <c r="I47" s="13">
        <v>509</v>
      </c>
      <c r="J47" s="14">
        <v>46247.448888888888</v>
      </c>
      <c r="K47" s="16">
        <v>8.66</v>
      </c>
      <c r="L47" s="13" t="b">
        <v>0</v>
      </c>
      <c r="M47" s="13"/>
      <c r="N47" s="13"/>
      <c r="O47" s="14"/>
      <c r="P47" s="13"/>
      <c r="Q47" s="13"/>
      <c r="R47" s="13">
        <v>29</v>
      </c>
    </row>
    <row r="48" spans="1:18" x14ac:dyDescent="0.3">
      <c r="A48" s="13" t="s">
        <v>150</v>
      </c>
      <c r="B48" s="14">
        <v>46247.935416666667</v>
      </c>
      <c r="C48" s="15">
        <v>46247</v>
      </c>
      <c r="D48" s="13" t="s">
        <v>114</v>
      </c>
      <c r="E48" s="13" t="s">
        <v>115</v>
      </c>
      <c r="F48" s="13" t="s">
        <v>42</v>
      </c>
      <c r="G48" s="13" t="s">
        <v>43</v>
      </c>
      <c r="H48" s="13" t="s">
        <v>151</v>
      </c>
      <c r="I48" s="13">
        <v>510</v>
      </c>
      <c r="J48" s="14">
        <v>46246.697083333333</v>
      </c>
      <c r="K48" s="16">
        <v>29.72</v>
      </c>
      <c r="L48" s="13" t="b">
        <v>0</v>
      </c>
      <c r="M48" s="13"/>
      <c r="N48" s="13"/>
      <c r="O48" s="14"/>
      <c r="P48" s="13"/>
      <c r="Q48" s="13"/>
      <c r="R48" s="13">
        <v>18</v>
      </c>
    </row>
    <row r="49" spans="1:18" x14ac:dyDescent="0.3">
      <c r="A49" s="13" t="s">
        <v>152</v>
      </c>
      <c r="B49" s="14">
        <v>46248.671527777777</v>
      </c>
      <c r="C49" s="15">
        <v>46248</v>
      </c>
      <c r="D49" s="13" t="s">
        <v>114</v>
      </c>
      <c r="E49" s="13" t="s">
        <v>115</v>
      </c>
      <c r="F49" s="13" t="s">
        <v>42</v>
      </c>
      <c r="G49" s="13" t="s">
        <v>43</v>
      </c>
      <c r="H49" s="13" t="s">
        <v>153</v>
      </c>
      <c r="I49" s="13">
        <v>513</v>
      </c>
      <c r="J49" s="14">
        <v>46248.361111111109</v>
      </c>
      <c r="K49" s="16">
        <v>7.45</v>
      </c>
      <c r="L49" s="13" t="b">
        <v>0</v>
      </c>
      <c r="M49" s="13"/>
      <c r="N49" s="13"/>
      <c r="O49" s="14"/>
      <c r="P49" s="13"/>
      <c r="Q49" s="13"/>
      <c r="R49" s="13">
        <v>26</v>
      </c>
    </row>
    <row r="50" spans="1:18" x14ac:dyDescent="0.3">
      <c r="A50" s="13" t="s">
        <v>154</v>
      </c>
      <c r="B50" s="14">
        <v>46248.929166666669</v>
      </c>
      <c r="C50" s="15">
        <v>46248</v>
      </c>
      <c r="D50" s="13" t="s">
        <v>114</v>
      </c>
      <c r="E50" s="13" t="s">
        <v>115</v>
      </c>
      <c r="F50" s="13" t="s">
        <v>42</v>
      </c>
      <c r="G50" s="13" t="s">
        <v>43</v>
      </c>
      <c r="H50" s="13" t="s">
        <v>155</v>
      </c>
      <c r="I50" s="13">
        <v>515</v>
      </c>
      <c r="J50" s="14">
        <v>46248.169583333343</v>
      </c>
      <c r="K50" s="16">
        <v>18.23</v>
      </c>
      <c r="L50" s="13" t="b">
        <v>0</v>
      </c>
      <c r="M50" s="13"/>
      <c r="N50" s="13"/>
      <c r="O50" s="14"/>
      <c r="P50" s="13"/>
      <c r="Q50" s="13"/>
      <c r="R50" s="13">
        <v>26</v>
      </c>
    </row>
    <row r="51" spans="1:18" x14ac:dyDescent="0.3">
      <c r="A51" s="13" t="s">
        <v>156</v>
      </c>
      <c r="B51" s="14">
        <v>46252.54583333333</v>
      </c>
      <c r="C51" s="15">
        <v>46252</v>
      </c>
      <c r="D51" s="13" t="s">
        <v>114</v>
      </c>
      <c r="E51" s="13" t="s">
        <v>115</v>
      </c>
      <c r="F51" s="13" t="s">
        <v>42</v>
      </c>
      <c r="G51" s="13" t="s">
        <v>43</v>
      </c>
      <c r="H51" s="13" t="s">
        <v>157</v>
      </c>
      <c r="I51" s="13">
        <v>516</v>
      </c>
      <c r="J51" s="14">
        <v>46251.858749999999</v>
      </c>
      <c r="K51" s="16">
        <v>16.489999999999998</v>
      </c>
      <c r="L51" s="13" t="b">
        <v>0</v>
      </c>
      <c r="M51" s="13"/>
      <c r="N51" s="13"/>
      <c r="O51" s="14"/>
      <c r="P51" s="13"/>
      <c r="Q51" s="13"/>
      <c r="R51" s="13">
        <v>23</v>
      </c>
    </row>
    <row r="52" spans="1:18" x14ac:dyDescent="0.3">
      <c r="A52" s="13" t="s">
        <v>158</v>
      </c>
      <c r="B52" s="14">
        <v>46252.848611111112</v>
      </c>
      <c r="C52" s="15">
        <v>46252</v>
      </c>
      <c r="D52" s="13" t="s">
        <v>114</v>
      </c>
      <c r="E52" s="13" t="s">
        <v>115</v>
      </c>
      <c r="F52" s="13" t="s">
        <v>42</v>
      </c>
      <c r="G52" s="13" t="s">
        <v>43</v>
      </c>
      <c r="H52" s="13" t="s">
        <v>159</v>
      </c>
      <c r="I52" s="13">
        <v>518</v>
      </c>
      <c r="J52" s="14">
        <v>46249.677361111113</v>
      </c>
      <c r="K52" s="16">
        <v>76.11</v>
      </c>
      <c r="L52" s="13" t="b">
        <v>0</v>
      </c>
      <c r="M52" s="13"/>
      <c r="N52" s="13"/>
      <c r="O52" s="14"/>
      <c r="P52" s="13"/>
      <c r="Q52" s="13"/>
      <c r="R52" s="13">
        <v>28</v>
      </c>
    </row>
    <row r="53" spans="1:18" x14ac:dyDescent="0.3">
      <c r="A53" s="13" t="s">
        <v>160</v>
      </c>
      <c r="B53" s="14">
        <v>46254.902083333327</v>
      </c>
      <c r="C53" s="15">
        <v>46254</v>
      </c>
      <c r="D53" s="13" t="s">
        <v>114</v>
      </c>
      <c r="E53" s="13" t="s">
        <v>115</v>
      </c>
      <c r="F53" s="13" t="s">
        <v>42</v>
      </c>
      <c r="G53" s="13" t="s">
        <v>43</v>
      </c>
      <c r="H53" s="13" t="s">
        <v>161</v>
      </c>
      <c r="I53" s="13">
        <v>520</v>
      </c>
      <c r="J53" s="14">
        <v>46253.287083333344</v>
      </c>
      <c r="K53" s="16">
        <v>38.76</v>
      </c>
      <c r="L53" s="13" t="b">
        <v>0</v>
      </c>
      <c r="M53" s="13"/>
      <c r="N53" s="13"/>
      <c r="O53" s="14"/>
      <c r="P53" s="13"/>
      <c r="Q53" s="13"/>
      <c r="R53" s="13">
        <v>23</v>
      </c>
    </row>
    <row r="54" spans="1:18" x14ac:dyDescent="0.3">
      <c r="A54" s="13" t="s">
        <v>162</v>
      </c>
      <c r="B54" s="14">
        <v>46258.697222222218</v>
      </c>
      <c r="C54" s="15">
        <v>46258</v>
      </c>
      <c r="D54" s="13" t="s">
        <v>114</v>
      </c>
      <c r="E54" s="13" t="s">
        <v>115</v>
      </c>
      <c r="F54" s="13" t="s">
        <v>42</v>
      </c>
      <c r="G54" s="13" t="s">
        <v>43</v>
      </c>
      <c r="H54" s="13" t="s">
        <v>163</v>
      </c>
      <c r="I54" s="13">
        <v>521</v>
      </c>
      <c r="J54" s="14">
        <v>46257.965555555558</v>
      </c>
      <c r="K54" s="16">
        <v>17.559999999999999</v>
      </c>
      <c r="L54" s="13" t="b">
        <v>0</v>
      </c>
      <c r="M54" s="13"/>
      <c r="N54" s="13"/>
      <c r="O54" s="14"/>
      <c r="P54" s="13"/>
      <c r="Q54" s="13"/>
      <c r="R54" s="13">
        <v>28</v>
      </c>
    </row>
    <row r="55" spans="1:18" x14ac:dyDescent="0.3">
      <c r="A55" s="13" t="s">
        <v>164</v>
      </c>
      <c r="B55" s="14">
        <v>46258.756249999999</v>
      </c>
      <c r="C55" s="15">
        <v>46258</v>
      </c>
      <c r="D55" s="13" t="s">
        <v>114</v>
      </c>
      <c r="E55" s="13" t="s">
        <v>115</v>
      </c>
      <c r="F55" s="13" t="s">
        <v>42</v>
      </c>
      <c r="G55" s="13" t="s">
        <v>43</v>
      </c>
      <c r="H55" s="13" t="s">
        <v>165</v>
      </c>
      <c r="I55" s="13">
        <v>522</v>
      </c>
      <c r="J55" s="14">
        <v>46257.824999999997</v>
      </c>
      <c r="K55" s="16">
        <v>22.35</v>
      </c>
      <c r="L55" s="13" t="b">
        <v>0</v>
      </c>
      <c r="M55" s="13"/>
      <c r="N55" s="13"/>
      <c r="O55" s="14"/>
      <c r="P55" s="13"/>
      <c r="Q55" s="13"/>
      <c r="R55" s="13">
        <v>17</v>
      </c>
    </row>
    <row r="56" spans="1:18" x14ac:dyDescent="0.3">
      <c r="A56" s="13" t="s">
        <v>166</v>
      </c>
      <c r="B56" s="14">
        <v>46258.769444444442</v>
      </c>
      <c r="C56" s="15">
        <v>46258</v>
      </c>
      <c r="D56" s="13" t="s">
        <v>114</v>
      </c>
      <c r="E56" s="13" t="s">
        <v>115</v>
      </c>
      <c r="F56" s="13" t="s">
        <v>42</v>
      </c>
      <c r="G56" s="13" t="s">
        <v>43</v>
      </c>
      <c r="H56" s="13" t="s">
        <v>167</v>
      </c>
      <c r="I56" s="13">
        <v>524</v>
      </c>
      <c r="J56" s="14">
        <v>46256.677777777782</v>
      </c>
      <c r="K56" s="16">
        <v>50.2</v>
      </c>
      <c r="L56" s="13" t="b">
        <v>0</v>
      </c>
      <c r="M56" s="13"/>
      <c r="N56" s="13"/>
      <c r="O56" s="14"/>
      <c r="P56" s="13"/>
      <c r="Q56" s="13"/>
      <c r="R56" s="13">
        <v>29</v>
      </c>
    </row>
    <row r="57" spans="1:18" x14ac:dyDescent="0.3">
      <c r="A57" s="13" t="s">
        <v>168</v>
      </c>
      <c r="B57" s="14">
        <v>46259.68472222222</v>
      </c>
      <c r="C57" s="15">
        <v>46259</v>
      </c>
      <c r="D57" s="13" t="s">
        <v>114</v>
      </c>
      <c r="E57" s="13" t="s">
        <v>115</v>
      </c>
      <c r="F57" s="13" t="s">
        <v>42</v>
      </c>
      <c r="G57" s="13" t="s">
        <v>43</v>
      </c>
      <c r="H57" s="13" t="s">
        <v>169</v>
      </c>
      <c r="I57" s="13">
        <v>525</v>
      </c>
      <c r="J57" s="14">
        <v>46258.765555555547</v>
      </c>
      <c r="K57" s="16">
        <v>22.06</v>
      </c>
      <c r="L57" s="13" t="b">
        <v>1</v>
      </c>
      <c r="M57" s="13" t="s">
        <v>49</v>
      </c>
      <c r="N57" s="13" t="s">
        <v>170</v>
      </c>
      <c r="O57" s="14">
        <v>46259.724999999999</v>
      </c>
      <c r="P57" s="13">
        <v>58</v>
      </c>
      <c r="Q57" s="13" t="s">
        <v>171</v>
      </c>
      <c r="R57" s="13">
        <v>24</v>
      </c>
    </row>
    <row r="58" spans="1:18" x14ac:dyDescent="0.3">
      <c r="A58" s="13" t="s">
        <v>172</v>
      </c>
      <c r="B58" s="14">
        <v>46260.611805555563</v>
      </c>
      <c r="C58" s="15">
        <v>46260</v>
      </c>
      <c r="D58" s="13" t="s">
        <v>114</v>
      </c>
      <c r="E58" s="13" t="s">
        <v>115</v>
      </c>
      <c r="F58" s="13" t="s">
        <v>42</v>
      </c>
      <c r="G58" s="13" t="s">
        <v>43</v>
      </c>
      <c r="H58" s="13" t="s">
        <v>173</v>
      </c>
      <c r="I58" s="13">
        <v>526</v>
      </c>
      <c r="J58" s="14">
        <v>46259.478888888887</v>
      </c>
      <c r="K58" s="16">
        <v>27.19</v>
      </c>
      <c r="L58" s="13" t="b">
        <v>0</v>
      </c>
      <c r="M58" s="13"/>
      <c r="N58" s="13"/>
      <c r="O58" s="14"/>
      <c r="P58" s="13"/>
      <c r="Q58" s="13"/>
      <c r="R58" s="13">
        <v>20</v>
      </c>
    </row>
    <row r="59" spans="1:18" x14ac:dyDescent="0.3">
      <c r="A59" s="13" t="s">
        <v>174</v>
      </c>
      <c r="B59" s="14">
        <v>46261.595138888893</v>
      </c>
      <c r="C59" s="15">
        <v>46261</v>
      </c>
      <c r="D59" s="13" t="s">
        <v>114</v>
      </c>
      <c r="E59" s="13" t="s">
        <v>115</v>
      </c>
      <c r="F59" s="13" t="s">
        <v>42</v>
      </c>
      <c r="G59" s="13" t="s">
        <v>43</v>
      </c>
      <c r="H59" s="13" t="s">
        <v>175</v>
      </c>
      <c r="I59" s="13">
        <v>528</v>
      </c>
      <c r="J59" s="14">
        <v>46260.272222222222</v>
      </c>
      <c r="K59" s="16">
        <v>31.75</v>
      </c>
      <c r="L59" s="13" t="b">
        <v>0</v>
      </c>
      <c r="M59" s="13"/>
      <c r="N59" s="13"/>
      <c r="O59" s="14"/>
      <c r="P59" s="13"/>
      <c r="Q59" s="13"/>
      <c r="R59" s="13">
        <v>16</v>
      </c>
    </row>
    <row r="60" spans="1:18" x14ac:dyDescent="0.3">
      <c r="A60" s="13" t="s">
        <v>176</v>
      </c>
      <c r="B60" s="14">
        <v>46262.602777777778</v>
      </c>
      <c r="C60" s="15">
        <v>46262</v>
      </c>
      <c r="D60" s="13" t="s">
        <v>114</v>
      </c>
      <c r="E60" s="13" t="s">
        <v>115</v>
      </c>
      <c r="F60" s="13" t="s">
        <v>42</v>
      </c>
      <c r="G60" s="13" t="s">
        <v>43</v>
      </c>
      <c r="H60" s="13" t="s">
        <v>177</v>
      </c>
      <c r="I60" s="13">
        <v>531</v>
      </c>
      <c r="J60" s="14">
        <v>46261.457777777781</v>
      </c>
      <c r="K60" s="16">
        <v>27.48</v>
      </c>
      <c r="L60" s="13" t="b">
        <v>0</v>
      </c>
      <c r="M60" s="13"/>
      <c r="N60" s="13"/>
      <c r="O60" s="14"/>
      <c r="P60" s="13"/>
      <c r="Q60" s="13"/>
      <c r="R60" s="13">
        <v>21</v>
      </c>
    </row>
    <row r="61" spans="1:18" x14ac:dyDescent="0.3">
      <c r="A61" s="13" t="s">
        <v>178</v>
      </c>
      <c r="B61" s="14">
        <v>46262.668055555558</v>
      </c>
      <c r="C61" s="15">
        <v>46262</v>
      </c>
      <c r="D61" s="13" t="s">
        <v>114</v>
      </c>
      <c r="E61" s="13" t="s">
        <v>115</v>
      </c>
      <c r="F61" s="13" t="s">
        <v>42</v>
      </c>
      <c r="G61" s="13" t="s">
        <v>43</v>
      </c>
      <c r="H61" s="13" t="s">
        <v>179</v>
      </c>
      <c r="I61" s="13">
        <v>532</v>
      </c>
      <c r="J61" s="14">
        <v>46262.238055555557</v>
      </c>
      <c r="K61" s="16">
        <v>10.32</v>
      </c>
      <c r="L61" s="13" t="b">
        <v>0</v>
      </c>
      <c r="M61" s="13"/>
      <c r="N61" s="13"/>
      <c r="O61" s="14"/>
      <c r="P61" s="13"/>
      <c r="Q61" s="13"/>
      <c r="R61" s="13">
        <v>28</v>
      </c>
    </row>
    <row r="62" spans="1:18" x14ac:dyDescent="0.3">
      <c r="A62" s="13" t="s">
        <v>180</v>
      </c>
      <c r="B62" s="14">
        <v>46262.801388888889</v>
      </c>
      <c r="C62" s="15">
        <v>46262</v>
      </c>
      <c r="D62" s="13" t="s">
        <v>114</v>
      </c>
      <c r="E62" s="13" t="s">
        <v>115</v>
      </c>
      <c r="F62" s="13" t="s">
        <v>42</v>
      </c>
      <c r="G62" s="13" t="s">
        <v>43</v>
      </c>
      <c r="H62" s="13" t="s">
        <v>181</v>
      </c>
      <c r="I62" s="13">
        <v>535</v>
      </c>
      <c r="J62" s="14">
        <v>46261.554305555554</v>
      </c>
      <c r="K62" s="16">
        <v>29.93</v>
      </c>
      <c r="L62" s="13" t="b">
        <v>0</v>
      </c>
      <c r="M62" s="13"/>
      <c r="N62" s="13"/>
      <c r="O62" s="14"/>
      <c r="P62" s="13"/>
      <c r="Q62" s="13"/>
      <c r="R62" s="13">
        <v>27</v>
      </c>
    </row>
    <row r="63" spans="1:18" x14ac:dyDescent="0.3">
      <c r="A63" s="13" t="s">
        <v>182</v>
      </c>
      <c r="B63" s="14">
        <v>46262.924305555563</v>
      </c>
      <c r="C63" s="15">
        <v>46262</v>
      </c>
      <c r="D63" s="13" t="s">
        <v>114</v>
      </c>
      <c r="E63" s="13" t="s">
        <v>115</v>
      </c>
      <c r="F63" s="13" t="s">
        <v>42</v>
      </c>
      <c r="G63" s="13" t="s">
        <v>43</v>
      </c>
      <c r="H63" s="13" t="s">
        <v>183</v>
      </c>
      <c r="I63" s="13">
        <v>538</v>
      </c>
      <c r="J63" s="14">
        <v>46261.704722222217</v>
      </c>
      <c r="K63" s="16">
        <v>29.27</v>
      </c>
      <c r="L63" s="13" t="b">
        <v>0</v>
      </c>
      <c r="M63" s="13"/>
      <c r="N63" s="13"/>
      <c r="O63" s="14"/>
      <c r="P63" s="13"/>
      <c r="Q63" s="13"/>
      <c r="R63" s="13">
        <v>15</v>
      </c>
    </row>
    <row r="64" spans="1:18" x14ac:dyDescent="0.3">
      <c r="A64" s="13" t="s">
        <v>184</v>
      </c>
      <c r="B64" s="14">
        <v>46263.859722222223</v>
      </c>
      <c r="C64" s="15">
        <v>46263</v>
      </c>
      <c r="D64" s="13" t="s">
        <v>114</v>
      </c>
      <c r="E64" s="13" t="s">
        <v>115</v>
      </c>
      <c r="F64" s="13" t="s">
        <v>42</v>
      </c>
      <c r="G64" s="13" t="s">
        <v>43</v>
      </c>
      <c r="H64" s="13" t="s">
        <v>185</v>
      </c>
      <c r="I64" s="13">
        <v>540</v>
      </c>
      <c r="J64" s="14">
        <v>46263.068888888891</v>
      </c>
      <c r="K64" s="16">
        <v>18.98</v>
      </c>
      <c r="L64" s="13" t="b">
        <v>0</v>
      </c>
      <c r="M64" s="13"/>
      <c r="N64" s="13"/>
      <c r="O64" s="14"/>
      <c r="P64" s="13"/>
      <c r="Q64" s="13"/>
      <c r="R64" s="13">
        <v>18</v>
      </c>
    </row>
    <row r="65" spans="1:18" x14ac:dyDescent="0.3">
      <c r="A65" s="13" t="s">
        <v>186</v>
      </c>
      <c r="B65" s="14">
        <v>46265.55972222222</v>
      </c>
      <c r="C65" s="15">
        <v>46265</v>
      </c>
      <c r="D65" s="13" t="s">
        <v>187</v>
      </c>
      <c r="E65" s="13" t="s">
        <v>188</v>
      </c>
      <c r="F65" s="13" t="s">
        <v>42</v>
      </c>
      <c r="G65" s="13" t="s">
        <v>43</v>
      </c>
      <c r="H65" s="13" t="s">
        <v>189</v>
      </c>
      <c r="I65" s="13">
        <v>542</v>
      </c>
      <c r="J65" s="14">
        <v>46265.080138888887</v>
      </c>
      <c r="K65" s="16">
        <v>11.51</v>
      </c>
      <c r="L65" s="13" t="b">
        <v>0</v>
      </c>
      <c r="M65" s="13"/>
      <c r="N65" s="13"/>
      <c r="O65" s="14"/>
      <c r="P65" s="13"/>
      <c r="Q65" s="13"/>
      <c r="R65" s="13">
        <v>5</v>
      </c>
    </row>
    <row r="66" spans="1:18" x14ac:dyDescent="0.3">
      <c r="A66" s="13" t="s">
        <v>190</v>
      </c>
      <c r="B66" s="14">
        <v>46265.59375</v>
      </c>
      <c r="C66" s="15">
        <v>46265</v>
      </c>
      <c r="D66" s="13" t="s">
        <v>187</v>
      </c>
      <c r="E66" s="13" t="s">
        <v>188</v>
      </c>
      <c r="F66" s="13" t="s">
        <v>42</v>
      </c>
      <c r="G66" s="13" t="s">
        <v>43</v>
      </c>
      <c r="H66" s="13" t="s">
        <v>191</v>
      </c>
      <c r="I66" s="13">
        <v>544</v>
      </c>
      <c r="J66" s="14">
        <v>46265.330416666657</v>
      </c>
      <c r="K66" s="16">
        <v>6.32</v>
      </c>
      <c r="L66" s="13" t="b">
        <v>0</v>
      </c>
      <c r="M66" s="13"/>
      <c r="N66" s="13"/>
      <c r="O66" s="14"/>
      <c r="P66" s="13"/>
      <c r="Q66" s="13"/>
      <c r="R66" s="13">
        <v>2</v>
      </c>
    </row>
    <row r="67" spans="1:18" x14ac:dyDescent="0.3">
      <c r="A67" s="13" t="s">
        <v>192</v>
      </c>
      <c r="B67" s="14">
        <v>46265.853472222218</v>
      </c>
      <c r="C67" s="15">
        <v>46265</v>
      </c>
      <c r="D67" s="13" t="s">
        <v>187</v>
      </c>
      <c r="E67" s="13" t="s">
        <v>188</v>
      </c>
      <c r="F67" s="13" t="s">
        <v>42</v>
      </c>
      <c r="G67" s="13" t="s">
        <v>43</v>
      </c>
      <c r="H67" s="13" t="s">
        <v>193</v>
      </c>
      <c r="I67" s="13">
        <v>545</v>
      </c>
      <c r="J67" s="14">
        <v>46265.662638888891</v>
      </c>
      <c r="K67" s="16">
        <v>4.58</v>
      </c>
      <c r="L67" s="13" t="b">
        <v>0</v>
      </c>
      <c r="M67" s="13"/>
      <c r="N67" s="13"/>
      <c r="O67" s="14"/>
      <c r="P67" s="13"/>
      <c r="Q67" s="13"/>
      <c r="R67" s="13">
        <v>3</v>
      </c>
    </row>
    <row r="68" spans="1:18" x14ac:dyDescent="0.3">
      <c r="A68" s="13" t="s">
        <v>194</v>
      </c>
      <c r="B68" s="14">
        <v>46265.879861111112</v>
      </c>
      <c r="C68" s="15">
        <v>46265</v>
      </c>
      <c r="D68" s="13" t="s">
        <v>187</v>
      </c>
      <c r="E68" s="13" t="s">
        <v>188</v>
      </c>
      <c r="F68" s="13" t="s">
        <v>42</v>
      </c>
      <c r="G68" s="13" t="s">
        <v>43</v>
      </c>
      <c r="H68" s="13" t="s">
        <v>195</v>
      </c>
      <c r="I68" s="13">
        <v>547</v>
      </c>
      <c r="J68" s="14">
        <v>46265.50236111111</v>
      </c>
      <c r="K68" s="16">
        <v>9.06</v>
      </c>
      <c r="L68" s="13" t="b">
        <v>0</v>
      </c>
      <c r="M68" s="13"/>
      <c r="N68" s="13"/>
      <c r="O68" s="14"/>
      <c r="P68" s="13"/>
      <c r="Q68" s="13"/>
      <c r="R68" s="13">
        <v>3</v>
      </c>
    </row>
    <row r="69" spans="1:18" x14ac:dyDescent="0.3">
      <c r="A69" s="13" t="s">
        <v>196</v>
      </c>
      <c r="B69" s="14">
        <v>46265.886805555558</v>
      </c>
      <c r="C69" s="15">
        <v>46265</v>
      </c>
      <c r="D69" s="13" t="s">
        <v>187</v>
      </c>
      <c r="E69" s="13" t="s">
        <v>188</v>
      </c>
      <c r="F69" s="13" t="s">
        <v>42</v>
      </c>
      <c r="G69" s="13" t="s">
        <v>43</v>
      </c>
      <c r="H69" s="13" t="s">
        <v>197</v>
      </c>
      <c r="I69" s="13">
        <v>549</v>
      </c>
      <c r="J69" s="14">
        <v>46265.570972222216</v>
      </c>
      <c r="K69" s="16">
        <v>7.58</v>
      </c>
      <c r="L69" s="13" t="b">
        <v>0</v>
      </c>
      <c r="M69" s="13"/>
      <c r="N69" s="13"/>
      <c r="O69" s="14"/>
      <c r="P69" s="13"/>
      <c r="Q69" s="13"/>
      <c r="R69" s="13">
        <v>4</v>
      </c>
    </row>
    <row r="70" spans="1:18" x14ac:dyDescent="0.3">
      <c r="A70" s="13" t="s">
        <v>198</v>
      </c>
      <c r="B70" s="14">
        <v>46265.902777777781</v>
      </c>
      <c r="C70" s="15">
        <v>46265</v>
      </c>
      <c r="D70" s="13" t="s">
        <v>187</v>
      </c>
      <c r="E70" s="13" t="s">
        <v>188</v>
      </c>
      <c r="F70" s="13" t="s">
        <v>42</v>
      </c>
      <c r="G70" s="13" t="s">
        <v>43</v>
      </c>
      <c r="H70" s="13" t="s">
        <v>199</v>
      </c>
      <c r="I70" s="13">
        <v>552</v>
      </c>
      <c r="J70" s="14">
        <v>46265.537777777783</v>
      </c>
      <c r="K70" s="16">
        <v>8.76</v>
      </c>
      <c r="L70" s="13" t="b">
        <v>0</v>
      </c>
      <c r="M70" s="13"/>
      <c r="N70" s="13"/>
      <c r="O70" s="14"/>
      <c r="P70" s="13"/>
      <c r="Q70" s="13"/>
      <c r="R70" s="13">
        <v>5</v>
      </c>
    </row>
    <row r="71" spans="1:18" x14ac:dyDescent="0.3">
      <c r="A71" s="13" t="s">
        <v>200</v>
      </c>
      <c r="B71" s="14">
        <v>46266.55</v>
      </c>
      <c r="C71" s="15">
        <v>46266</v>
      </c>
      <c r="D71" s="13" t="s">
        <v>187</v>
      </c>
      <c r="E71" s="13" t="s">
        <v>188</v>
      </c>
      <c r="F71" s="13" t="s">
        <v>42</v>
      </c>
      <c r="G71" s="13" t="s">
        <v>43</v>
      </c>
      <c r="H71" s="13" t="s">
        <v>201</v>
      </c>
      <c r="I71" s="13">
        <v>555</v>
      </c>
      <c r="J71" s="14">
        <v>46266.307916666658</v>
      </c>
      <c r="K71" s="16">
        <v>5.81</v>
      </c>
      <c r="L71" s="13" t="b">
        <v>0</v>
      </c>
      <c r="M71" s="13"/>
      <c r="N71" s="13"/>
      <c r="O71" s="14"/>
      <c r="P71" s="13"/>
      <c r="Q71" s="13"/>
      <c r="R71" s="13">
        <v>5</v>
      </c>
    </row>
    <row r="72" spans="1:18" x14ac:dyDescent="0.3">
      <c r="A72" s="13" t="s">
        <v>202</v>
      </c>
      <c r="B72" s="14">
        <v>46267.601388888892</v>
      </c>
      <c r="C72" s="15">
        <v>46267</v>
      </c>
      <c r="D72" s="13" t="s">
        <v>187</v>
      </c>
      <c r="E72" s="13" t="s">
        <v>188</v>
      </c>
      <c r="F72" s="13" t="s">
        <v>42</v>
      </c>
      <c r="G72" s="13" t="s">
        <v>43</v>
      </c>
      <c r="H72" s="13" t="s">
        <v>203</v>
      </c>
      <c r="I72" s="13">
        <v>558</v>
      </c>
      <c r="J72" s="14">
        <v>46267.359722222223</v>
      </c>
      <c r="K72" s="16">
        <v>5.8</v>
      </c>
      <c r="L72" s="13" t="b">
        <v>0</v>
      </c>
      <c r="M72" s="13"/>
      <c r="N72" s="13"/>
      <c r="O72" s="14"/>
      <c r="P72" s="13"/>
      <c r="Q72" s="13"/>
      <c r="R72" s="13">
        <v>6</v>
      </c>
    </row>
    <row r="73" spans="1:18" x14ac:dyDescent="0.3">
      <c r="A73" s="13" t="s">
        <v>204</v>
      </c>
      <c r="B73" s="14">
        <v>46267.623611111107</v>
      </c>
      <c r="C73" s="15">
        <v>46267</v>
      </c>
      <c r="D73" s="13" t="s">
        <v>187</v>
      </c>
      <c r="E73" s="13" t="s">
        <v>188</v>
      </c>
      <c r="F73" s="13" t="s">
        <v>42</v>
      </c>
      <c r="G73" s="13" t="s">
        <v>43</v>
      </c>
      <c r="H73" s="13" t="s">
        <v>205</v>
      </c>
      <c r="I73" s="13">
        <v>561</v>
      </c>
      <c r="J73" s="14">
        <v>46266.884444444448</v>
      </c>
      <c r="K73" s="16">
        <v>17.739999999999998</v>
      </c>
      <c r="L73" s="13" t="b">
        <v>0</v>
      </c>
      <c r="M73" s="13"/>
      <c r="N73" s="13"/>
      <c r="O73" s="14"/>
      <c r="P73" s="13"/>
      <c r="Q73" s="13"/>
      <c r="R73" s="13">
        <v>5</v>
      </c>
    </row>
    <row r="74" spans="1:18" x14ac:dyDescent="0.3">
      <c r="A74" s="13" t="s">
        <v>206</v>
      </c>
      <c r="B74" s="14">
        <v>46267.683333333327</v>
      </c>
      <c r="C74" s="15">
        <v>46267</v>
      </c>
      <c r="D74" s="13" t="s">
        <v>187</v>
      </c>
      <c r="E74" s="13" t="s">
        <v>188</v>
      </c>
      <c r="F74" s="13" t="s">
        <v>42</v>
      </c>
      <c r="G74" s="13" t="s">
        <v>43</v>
      </c>
      <c r="H74" s="13" t="s">
        <v>207</v>
      </c>
      <c r="I74" s="13">
        <v>563</v>
      </c>
      <c r="J74" s="14">
        <v>46267.445416666669</v>
      </c>
      <c r="K74" s="16">
        <v>5.71</v>
      </c>
      <c r="L74" s="13" t="b">
        <v>0</v>
      </c>
      <c r="M74" s="13"/>
      <c r="N74" s="13"/>
      <c r="O74" s="14"/>
      <c r="P74" s="13"/>
      <c r="Q74" s="13"/>
      <c r="R74" s="13">
        <v>5</v>
      </c>
    </row>
    <row r="75" spans="1:18" x14ac:dyDescent="0.3">
      <c r="A75" s="13" t="s">
        <v>208</v>
      </c>
      <c r="B75" s="14">
        <v>46268.62222222222</v>
      </c>
      <c r="C75" s="15">
        <v>46268</v>
      </c>
      <c r="D75" s="13" t="s">
        <v>187</v>
      </c>
      <c r="E75" s="13" t="s">
        <v>188</v>
      </c>
      <c r="F75" s="13" t="s">
        <v>42</v>
      </c>
      <c r="G75" s="13" t="s">
        <v>43</v>
      </c>
      <c r="H75" s="13" t="s">
        <v>209</v>
      </c>
      <c r="I75" s="13">
        <v>565</v>
      </c>
      <c r="J75" s="14">
        <v>46268.380972222221</v>
      </c>
      <c r="K75" s="16">
        <v>5.79</v>
      </c>
      <c r="L75" s="13" t="b">
        <v>0</v>
      </c>
      <c r="M75" s="13"/>
      <c r="N75" s="13"/>
      <c r="O75" s="14"/>
      <c r="P75" s="13"/>
      <c r="Q75" s="13"/>
      <c r="R75" s="13">
        <v>3</v>
      </c>
    </row>
    <row r="76" spans="1:18" x14ac:dyDescent="0.3">
      <c r="A76" s="13" t="s">
        <v>210</v>
      </c>
      <c r="B76" s="14">
        <v>46268.831250000003</v>
      </c>
      <c r="C76" s="15">
        <v>46268</v>
      </c>
      <c r="D76" s="13" t="s">
        <v>187</v>
      </c>
      <c r="E76" s="13" t="s">
        <v>188</v>
      </c>
      <c r="F76" s="13" t="s">
        <v>42</v>
      </c>
      <c r="G76" s="13" t="s">
        <v>43</v>
      </c>
      <c r="H76" s="13" t="s">
        <v>211</v>
      </c>
      <c r="I76" s="13">
        <v>566</v>
      </c>
      <c r="J76" s="14">
        <v>46268.572500000002</v>
      </c>
      <c r="K76" s="16">
        <v>6.21</v>
      </c>
      <c r="L76" s="13" t="b">
        <v>0</v>
      </c>
      <c r="M76" s="13"/>
      <c r="N76" s="13"/>
      <c r="O76" s="14"/>
      <c r="P76" s="13"/>
      <c r="Q76" s="13"/>
      <c r="R76" s="13">
        <v>2</v>
      </c>
    </row>
    <row r="77" spans="1:18" x14ac:dyDescent="0.3">
      <c r="A77" s="13" t="s">
        <v>212</v>
      </c>
      <c r="B77" s="14">
        <v>46269.759722222218</v>
      </c>
      <c r="C77" s="15">
        <v>46269</v>
      </c>
      <c r="D77" s="13" t="s">
        <v>187</v>
      </c>
      <c r="E77" s="13" t="s">
        <v>188</v>
      </c>
      <c r="F77" s="13" t="s">
        <v>42</v>
      </c>
      <c r="G77" s="13" t="s">
        <v>43</v>
      </c>
      <c r="H77" s="13" t="s">
        <v>213</v>
      </c>
      <c r="I77" s="13">
        <v>568</v>
      </c>
      <c r="J77" s="14">
        <v>46269.360555555562</v>
      </c>
      <c r="K77" s="16">
        <v>9.58</v>
      </c>
      <c r="L77" s="13" t="b">
        <v>0</v>
      </c>
      <c r="M77" s="13"/>
      <c r="N77" s="13"/>
      <c r="O77" s="14"/>
      <c r="P77" s="13"/>
      <c r="Q77" s="13"/>
      <c r="R77" s="13">
        <v>6</v>
      </c>
    </row>
    <row r="78" spans="1:18" x14ac:dyDescent="0.3">
      <c r="A78" s="13" t="s">
        <v>214</v>
      </c>
      <c r="B78" s="14">
        <v>46269.884027777778</v>
      </c>
      <c r="C78" s="15">
        <v>46269</v>
      </c>
      <c r="D78" s="13" t="s">
        <v>187</v>
      </c>
      <c r="E78" s="13" t="s">
        <v>188</v>
      </c>
      <c r="F78" s="13" t="s">
        <v>42</v>
      </c>
      <c r="G78" s="13" t="s">
        <v>43</v>
      </c>
      <c r="H78" s="13" t="s">
        <v>215</v>
      </c>
      <c r="I78" s="13">
        <v>570</v>
      </c>
      <c r="J78" s="14">
        <v>46269.429027777784</v>
      </c>
      <c r="K78" s="16">
        <v>10.92</v>
      </c>
      <c r="L78" s="13" t="b">
        <v>0</v>
      </c>
      <c r="M78" s="13"/>
      <c r="N78" s="13"/>
      <c r="O78" s="14"/>
      <c r="P78" s="13"/>
      <c r="Q78" s="13"/>
      <c r="R78" s="13">
        <v>5</v>
      </c>
    </row>
    <row r="79" spans="1:18" x14ac:dyDescent="0.3">
      <c r="A79" s="13" t="s">
        <v>216</v>
      </c>
      <c r="B79" s="14">
        <v>46269.95416666667</v>
      </c>
      <c r="C79" s="15">
        <v>46269</v>
      </c>
      <c r="D79" s="13" t="s">
        <v>187</v>
      </c>
      <c r="E79" s="13" t="s">
        <v>188</v>
      </c>
      <c r="F79" s="13" t="s">
        <v>42</v>
      </c>
      <c r="G79" s="13" t="s">
        <v>43</v>
      </c>
      <c r="H79" s="13" t="s">
        <v>217</v>
      </c>
      <c r="I79" s="13">
        <v>571</v>
      </c>
      <c r="J79" s="14">
        <v>46269.676249999997</v>
      </c>
      <c r="K79" s="16">
        <v>6.67</v>
      </c>
      <c r="L79" s="13" t="b">
        <v>0</v>
      </c>
      <c r="M79" s="13"/>
      <c r="N79" s="13"/>
      <c r="O79" s="14"/>
      <c r="P79" s="13"/>
      <c r="Q79" s="13"/>
      <c r="R79" s="13">
        <v>2</v>
      </c>
    </row>
    <row r="80" spans="1:18" x14ac:dyDescent="0.3">
      <c r="A80" s="13" t="s">
        <v>218</v>
      </c>
      <c r="B80" s="14">
        <v>46272.611805555563</v>
      </c>
      <c r="C80" s="15">
        <v>46272</v>
      </c>
      <c r="D80" s="13" t="s">
        <v>187</v>
      </c>
      <c r="E80" s="13" t="s">
        <v>188</v>
      </c>
      <c r="F80" s="13" t="s">
        <v>42</v>
      </c>
      <c r="G80" s="13" t="s">
        <v>43</v>
      </c>
      <c r="H80" s="13" t="s">
        <v>219</v>
      </c>
      <c r="I80" s="13">
        <v>573</v>
      </c>
      <c r="J80" s="14">
        <v>46272.385138888887</v>
      </c>
      <c r="K80" s="16">
        <v>5.44</v>
      </c>
      <c r="L80" s="13" t="b">
        <v>0</v>
      </c>
      <c r="M80" s="13"/>
      <c r="N80" s="13"/>
      <c r="O80" s="14"/>
      <c r="P80" s="13"/>
      <c r="Q80" s="13"/>
      <c r="R80" s="13">
        <v>6</v>
      </c>
    </row>
    <row r="81" spans="1:18" x14ac:dyDescent="0.3">
      <c r="A81" s="13" t="s">
        <v>220</v>
      </c>
      <c r="B81" s="14">
        <v>46272.75277777778</v>
      </c>
      <c r="C81" s="15">
        <v>46272</v>
      </c>
      <c r="D81" s="13" t="s">
        <v>187</v>
      </c>
      <c r="E81" s="13" t="s">
        <v>188</v>
      </c>
      <c r="F81" s="13" t="s">
        <v>42</v>
      </c>
      <c r="G81" s="13" t="s">
        <v>43</v>
      </c>
      <c r="H81" s="13" t="s">
        <v>221</v>
      </c>
      <c r="I81" s="13">
        <v>575</v>
      </c>
      <c r="J81" s="14">
        <v>46272.460694444453</v>
      </c>
      <c r="K81" s="16">
        <v>7.01</v>
      </c>
      <c r="L81" s="13" t="b">
        <v>0</v>
      </c>
      <c r="M81" s="13"/>
      <c r="N81" s="13"/>
      <c r="O81" s="14"/>
      <c r="P81" s="13"/>
      <c r="Q81" s="13"/>
      <c r="R81" s="13">
        <v>6</v>
      </c>
    </row>
    <row r="82" spans="1:18" x14ac:dyDescent="0.3">
      <c r="A82" s="13" t="s">
        <v>222</v>
      </c>
      <c r="B82" s="14">
        <v>46272.905555555553</v>
      </c>
      <c r="C82" s="15">
        <v>46272</v>
      </c>
      <c r="D82" s="13" t="s">
        <v>187</v>
      </c>
      <c r="E82" s="13" t="s">
        <v>188</v>
      </c>
      <c r="F82" s="13" t="s">
        <v>42</v>
      </c>
      <c r="G82" s="13" t="s">
        <v>43</v>
      </c>
      <c r="H82" s="13" t="s">
        <v>223</v>
      </c>
      <c r="I82" s="13">
        <v>576</v>
      </c>
      <c r="J82" s="14">
        <v>46272.503888888888</v>
      </c>
      <c r="K82" s="16">
        <v>9.64</v>
      </c>
      <c r="L82" s="13" t="b">
        <v>0</v>
      </c>
      <c r="M82" s="13"/>
      <c r="N82" s="13"/>
      <c r="O82" s="14"/>
      <c r="P82" s="13"/>
      <c r="Q82" s="13"/>
      <c r="R82" s="13">
        <v>3</v>
      </c>
    </row>
    <row r="83" spans="1:18" x14ac:dyDescent="0.3">
      <c r="A83" s="13" t="s">
        <v>224</v>
      </c>
      <c r="B83" s="14">
        <v>46272.92083333333</v>
      </c>
      <c r="C83" s="15">
        <v>46272</v>
      </c>
      <c r="D83" s="13" t="s">
        <v>187</v>
      </c>
      <c r="E83" s="13" t="s">
        <v>188</v>
      </c>
      <c r="F83" s="13" t="s">
        <v>42</v>
      </c>
      <c r="G83" s="13" t="s">
        <v>43</v>
      </c>
      <c r="H83" s="13" t="s">
        <v>225</v>
      </c>
      <c r="I83" s="13">
        <v>577</v>
      </c>
      <c r="J83" s="14">
        <v>46272.533333333333</v>
      </c>
      <c r="K83" s="16">
        <v>9.3000000000000007</v>
      </c>
      <c r="L83" s="13" t="b">
        <v>0</v>
      </c>
      <c r="M83" s="13"/>
      <c r="N83" s="13"/>
      <c r="O83" s="14"/>
      <c r="P83" s="13"/>
      <c r="Q83" s="13"/>
      <c r="R83" s="13">
        <v>6</v>
      </c>
    </row>
    <row r="84" spans="1:18" x14ac:dyDescent="0.3">
      <c r="A84" s="13" t="s">
        <v>226</v>
      </c>
      <c r="B84" s="14">
        <v>46273.743750000001</v>
      </c>
      <c r="C84" s="15">
        <v>46273</v>
      </c>
      <c r="D84" s="13" t="s">
        <v>187</v>
      </c>
      <c r="E84" s="13" t="s">
        <v>188</v>
      </c>
      <c r="F84" s="13" t="s">
        <v>42</v>
      </c>
      <c r="G84" s="13" t="s">
        <v>43</v>
      </c>
      <c r="H84" s="13" t="s">
        <v>227</v>
      </c>
      <c r="I84" s="13">
        <v>578</v>
      </c>
      <c r="J84" s="14">
        <v>46273.088333333333</v>
      </c>
      <c r="K84" s="16">
        <v>15.73</v>
      </c>
      <c r="L84" s="13" t="b">
        <v>0</v>
      </c>
      <c r="M84" s="13"/>
      <c r="N84" s="13"/>
      <c r="O84" s="14"/>
      <c r="P84" s="13"/>
      <c r="Q84" s="13"/>
      <c r="R84" s="13">
        <v>2</v>
      </c>
    </row>
    <row r="85" spans="1:18" x14ac:dyDescent="0.3">
      <c r="A85" s="13" t="s">
        <v>228</v>
      </c>
      <c r="B85" s="14">
        <v>46273.886805555558</v>
      </c>
      <c r="C85" s="15">
        <v>46273</v>
      </c>
      <c r="D85" s="13" t="s">
        <v>187</v>
      </c>
      <c r="E85" s="13" t="s">
        <v>188</v>
      </c>
      <c r="F85" s="13" t="s">
        <v>42</v>
      </c>
      <c r="G85" s="13" t="s">
        <v>43</v>
      </c>
      <c r="H85" s="13" t="s">
        <v>229</v>
      </c>
      <c r="I85" s="13">
        <v>581</v>
      </c>
      <c r="J85" s="14">
        <v>46273.578472222223</v>
      </c>
      <c r="K85" s="16">
        <v>7.4</v>
      </c>
      <c r="L85" s="13" t="b">
        <v>0</v>
      </c>
      <c r="M85" s="13"/>
      <c r="N85" s="13"/>
      <c r="O85" s="14"/>
      <c r="P85" s="13"/>
      <c r="Q85" s="13"/>
      <c r="R85" s="13">
        <v>3</v>
      </c>
    </row>
    <row r="86" spans="1:18" x14ac:dyDescent="0.3">
      <c r="A86" s="13" t="s">
        <v>230</v>
      </c>
      <c r="B86" s="14">
        <v>46273.90625</v>
      </c>
      <c r="C86" s="15">
        <v>46273</v>
      </c>
      <c r="D86" s="13" t="s">
        <v>187</v>
      </c>
      <c r="E86" s="13" t="s">
        <v>188</v>
      </c>
      <c r="F86" s="13" t="s">
        <v>42</v>
      </c>
      <c r="G86" s="13" t="s">
        <v>43</v>
      </c>
      <c r="H86" s="13" t="s">
        <v>231</v>
      </c>
      <c r="I86" s="13">
        <v>582</v>
      </c>
      <c r="J86" s="14">
        <v>46273.352500000001</v>
      </c>
      <c r="K86" s="16">
        <v>13.29</v>
      </c>
      <c r="L86" s="13" t="b">
        <v>0</v>
      </c>
      <c r="M86" s="13"/>
      <c r="N86" s="13"/>
      <c r="O86" s="14"/>
      <c r="P86" s="13"/>
      <c r="Q86" s="13"/>
      <c r="R86" s="13">
        <v>5</v>
      </c>
    </row>
    <row r="87" spans="1:18" x14ac:dyDescent="0.3">
      <c r="A87" s="13" t="s">
        <v>232</v>
      </c>
      <c r="B87" s="14">
        <v>46273.936111111107</v>
      </c>
      <c r="C87" s="15">
        <v>46273</v>
      </c>
      <c r="D87" s="13" t="s">
        <v>187</v>
      </c>
      <c r="E87" s="13" t="s">
        <v>188</v>
      </c>
      <c r="F87" s="13" t="s">
        <v>42</v>
      </c>
      <c r="G87" s="13" t="s">
        <v>43</v>
      </c>
      <c r="H87" s="13" t="s">
        <v>233</v>
      </c>
      <c r="I87" s="13">
        <v>585</v>
      </c>
      <c r="J87" s="14">
        <v>46273.805277777778</v>
      </c>
      <c r="K87" s="16">
        <v>3.14</v>
      </c>
      <c r="L87" s="13" t="b">
        <v>0</v>
      </c>
      <c r="M87" s="13"/>
      <c r="N87" s="13"/>
      <c r="O87" s="14"/>
      <c r="P87" s="13"/>
      <c r="Q87" s="13"/>
      <c r="R87" s="13">
        <v>6</v>
      </c>
    </row>
    <row r="88" spans="1:18" x14ac:dyDescent="0.3">
      <c r="A88" s="13" t="s">
        <v>234</v>
      </c>
      <c r="B88" s="14">
        <v>46274.619444444441</v>
      </c>
      <c r="C88" s="15">
        <v>46274</v>
      </c>
      <c r="D88" s="13" t="s">
        <v>187</v>
      </c>
      <c r="E88" s="13" t="s">
        <v>188</v>
      </c>
      <c r="F88" s="13" t="s">
        <v>42</v>
      </c>
      <c r="G88" s="13" t="s">
        <v>43</v>
      </c>
      <c r="H88" s="13" t="s">
        <v>235</v>
      </c>
      <c r="I88" s="13">
        <v>587</v>
      </c>
      <c r="J88" s="14">
        <v>46274.076111111113</v>
      </c>
      <c r="K88" s="16">
        <v>13.04</v>
      </c>
      <c r="L88" s="13" t="b">
        <v>1</v>
      </c>
      <c r="M88" s="13" t="s">
        <v>236</v>
      </c>
      <c r="N88" s="13" t="s">
        <v>237</v>
      </c>
      <c r="O88" s="14">
        <v>46274.644444444442</v>
      </c>
      <c r="P88" s="13">
        <v>36</v>
      </c>
      <c r="Q88" s="13" t="s">
        <v>238</v>
      </c>
      <c r="R88" s="13">
        <v>4</v>
      </c>
    </row>
    <row r="89" spans="1:18" x14ac:dyDescent="0.3">
      <c r="A89" s="13" t="s">
        <v>239</v>
      </c>
      <c r="B89" s="14">
        <v>46274.709722222222</v>
      </c>
      <c r="C89" s="15">
        <v>46274</v>
      </c>
      <c r="D89" s="13" t="s">
        <v>187</v>
      </c>
      <c r="E89" s="13" t="s">
        <v>188</v>
      </c>
      <c r="F89" s="13" t="s">
        <v>42</v>
      </c>
      <c r="G89" s="13" t="s">
        <v>43</v>
      </c>
      <c r="H89" s="13" t="s">
        <v>240</v>
      </c>
      <c r="I89" s="13">
        <v>590</v>
      </c>
      <c r="J89" s="14">
        <v>46274.578472222223</v>
      </c>
      <c r="K89" s="16">
        <v>3.15</v>
      </c>
      <c r="L89" s="13" t="b">
        <v>0</v>
      </c>
      <c r="M89" s="13"/>
      <c r="N89" s="13"/>
      <c r="O89" s="14"/>
      <c r="P89" s="13"/>
      <c r="Q89" s="13"/>
      <c r="R89" s="13">
        <v>5</v>
      </c>
    </row>
    <row r="90" spans="1:18" x14ac:dyDescent="0.3">
      <c r="A90" s="13" t="s">
        <v>241</v>
      </c>
      <c r="B90" s="14">
        <v>46275.716666666667</v>
      </c>
      <c r="C90" s="15">
        <v>46275</v>
      </c>
      <c r="D90" s="13" t="s">
        <v>187</v>
      </c>
      <c r="E90" s="13" t="s">
        <v>188</v>
      </c>
      <c r="F90" s="13" t="s">
        <v>42</v>
      </c>
      <c r="G90" s="13" t="s">
        <v>43</v>
      </c>
      <c r="H90" s="13" t="s">
        <v>242</v>
      </c>
      <c r="I90" s="13">
        <v>591</v>
      </c>
      <c r="J90" s="14">
        <v>46275.267083333332</v>
      </c>
      <c r="K90" s="16">
        <v>10.79</v>
      </c>
      <c r="L90" s="13" t="b">
        <v>0</v>
      </c>
      <c r="M90" s="13"/>
      <c r="N90" s="13"/>
      <c r="O90" s="14"/>
      <c r="P90" s="13"/>
      <c r="Q90" s="13"/>
      <c r="R90" s="13">
        <v>2</v>
      </c>
    </row>
    <row r="91" spans="1:18" x14ac:dyDescent="0.3">
      <c r="A91" s="13" t="s">
        <v>243</v>
      </c>
      <c r="B91" s="14">
        <v>46275.742361111108</v>
      </c>
      <c r="C91" s="15">
        <v>46275</v>
      </c>
      <c r="D91" s="13" t="s">
        <v>187</v>
      </c>
      <c r="E91" s="13" t="s">
        <v>188</v>
      </c>
      <c r="F91" s="13" t="s">
        <v>42</v>
      </c>
      <c r="G91" s="13" t="s">
        <v>43</v>
      </c>
      <c r="H91" s="13" t="s">
        <v>244</v>
      </c>
      <c r="I91" s="13">
        <v>594</v>
      </c>
      <c r="J91" s="14">
        <v>46275.278611111113</v>
      </c>
      <c r="K91" s="16">
        <v>11.13</v>
      </c>
      <c r="L91" s="13" t="b">
        <v>0</v>
      </c>
      <c r="M91" s="13"/>
      <c r="N91" s="13"/>
      <c r="O91" s="14"/>
      <c r="P91" s="13"/>
      <c r="Q91" s="13"/>
      <c r="R91" s="13">
        <v>3</v>
      </c>
    </row>
    <row r="92" spans="1:18" x14ac:dyDescent="0.3">
      <c r="A92" s="13" t="s">
        <v>245</v>
      </c>
      <c r="B92" s="14">
        <v>46275.831944444442</v>
      </c>
      <c r="C92" s="15">
        <v>46275</v>
      </c>
      <c r="D92" s="13" t="s">
        <v>187</v>
      </c>
      <c r="E92" s="13" t="s">
        <v>188</v>
      </c>
      <c r="F92" s="13" t="s">
        <v>42</v>
      </c>
      <c r="G92" s="13" t="s">
        <v>43</v>
      </c>
      <c r="H92" s="13" t="s">
        <v>246</v>
      </c>
      <c r="I92" s="13">
        <v>596</v>
      </c>
      <c r="J92" s="14">
        <v>46275.711111111108</v>
      </c>
      <c r="K92" s="16">
        <v>2.9</v>
      </c>
      <c r="L92" s="13" t="b">
        <v>0</v>
      </c>
      <c r="M92" s="13"/>
      <c r="N92" s="13"/>
      <c r="O92" s="14"/>
      <c r="P92" s="13"/>
      <c r="Q92" s="13"/>
      <c r="R92" s="13">
        <v>6</v>
      </c>
    </row>
    <row r="93" spans="1:18" x14ac:dyDescent="0.3">
      <c r="A93" s="13" t="s">
        <v>247</v>
      </c>
      <c r="B93" s="14">
        <v>46275.90625</v>
      </c>
      <c r="C93" s="15">
        <v>46275</v>
      </c>
      <c r="D93" s="13" t="s">
        <v>187</v>
      </c>
      <c r="E93" s="13" t="s">
        <v>188</v>
      </c>
      <c r="F93" s="13" t="s">
        <v>42</v>
      </c>
      <c r="G93" s="13" t="s">
        <v>43</v>
      </c>
      <c r="H93" s="13" t="s">
        <v>248</v>
      </c>
      <c r="I93" s="13">
        <v>597</v>
      </c>
      <c r="J93" s="14">
        <v>46275.738333333327</v>
      </c>
      <c r="K93" s="16">
        <v>4.03</v>
      </c>
      <c r="L93" s="13" t="b">
        <v>0</v>
      </c>
      <c r="M93" s="13"/>
      <c r="N93" s="13"/>
      <c r="O93" s="14"/>
      <c r="P93" s="13"/>
      <c r="Q93" s="13"/>
      <c r="R93" s="13">
        <v>2</v>
      </c>
    </row>
    <row r="94" spans="1:18" x14ac:dyDescent="0.3">
      <c r="A94" s="13" t="s">
        <v>249</v>
      </c>
      <c r="B94" s="14">
        <v>46276.646527777782</v>
      </c>
      <c r="C94" s="15">
        <v>46276</v>
      </c>
      <c r="D94" s="13" t="s">
        <v>187</v>
      </c>
      <c r="E94" s="13" t="s">
        <v>188</v>
      </c>
      <c r="F94" s="13" t="s">
        <v>42</v>
      </c>
      <c r="G94" s="13" t="s">
        <v>43</v>
      </c>
      <c r="H94" s="13" t="s">
        <v>250</v>
      </c>
      <c r="I94" s="13">
        <v>600</v>
      </c>
      <c r="J94" s="14">
        <v>46276.356111111112</v>
      </c>
      <c r="K94" s="16">
        <v>6.97</v>
      </c>
      <c r="L94" s="13" t="b">
        <v>0</v>
      </c>
      <c r="M94" s="13"/>
      <c r="N94" s="13"/>
      <c r="O94" s="14"/>
      <c r="P94" s="13"/>
      <c r="Q94" s="13"/>
      <c r="R94" s="13">
        <v>5</v>
      </c>
    </row>
    <row r="95" spans="1:18" x14ac:dyDescent="0.3">
      <c r="A95" s="13" t="s">
        <v>251</v>
      </c>
      <c r="B95" s="14">
        <v>46276.674305555563</v>
      </c>
      <c r="C95" s="15">
        <v>46276</v>
      </c>
      <c r="D95" s="13" t="s">
        <v>187</v>
      </c>
      <c r="E95" s="13" t="s">
        <v>188</v>
      </c>
      <c r="F95" s="13" t="s">
        <v>42</v>
      </c>
      <c r="G95" s="13" t="s">
        <v>43</v>
      </c>
      <c r="H95" s="13" t="s">
        <v>252</v>
      </c>
      <c r="I95" s="13">
        <v>601</v>
      </c>
      <c r="J95" s="14">
        <v>46275.871805555558</v>
      </c>
      <c r="K95" s="16">
        <v>19.260000000000002</v>
      </c>
      <c r="L95" s="13" t="b">
        <v>1</v>
      </c>
      <c r="M95" s="13" t="s">
        <v>68</v>
      </c>
      <c r="N95" s="13" t="s">
        <v>253</v>
      </c>
      <c r="O95" s="14">
        <v>46276.71597222222</v>
      </c>
      <c r="P95" s="13">
        <v>60</v>
      </c>
      <c r="Q95" s="13" t="s">
        <v>171</v>
      </c>
      <c r="R95" s="13">
        <v>3</v>
      </c>
    </row>
    <row r="96" spans="1:18" x14ac:dyDescent="0.3">
      <c r="A96" s="13" t="s">
        <v>254</v>
      </c>
      <c r="B96" s="14">
        <v>46276.691666666673</v>
      </c>
      <c r="C96" s="15">
        <v>46276</v>
      </c>
      <c r="D96" s="13" t="s">
        <v>187</v>
      </c>
      <c r="E96" s="13" t="s">
        <v>188</v>
      </c>
      <c r="F96" s="13" t="s">
        <v>42</v>
      </c>
      <c r="G96" s="13" t="s">
        <v>43</v>
      </c>
      <c r="H96" s="13" t="s">
        <v>255</v>
      </c>
      <c r="I96" s="13">
        <v>604</v>
      </c>
      <c r="J96" s="14">
        <v>46276.357916666668</v>
      </c>
      <c r="K96" s="16">
        <v>8.01</v>
      </c>
      <c r="L96" s="13" t="b">
        <v>0</v>
      </c>
      <c r="M96" s="13"/>
      <c r="N96" s="13"/>
      <c r="O96" s="14"/>
      <c r="P96" s="13"/>
      <c r="Q96" s="13"/>
      <c r="R96" s="13">
        <v>2</v>
      </c>
    </row>
    <row r="97" spans="1:18" x14ac:dyDescent="0.3">
      <c r="A97" s="13" t="s">
        <v>256</v>
      </c>
      <c r="B97" s="14">
        <v>46276.862500000003</v>
      </c>
      <c r="C97" s="15">
        <v>46276</v>
      </c>
      <c r="D97" s="13" t="s">
        <v>187</v>
      </c>
      <c r="E97" s="13" t="s">
        <v>188</v>
      </c>
      <c r="F97" s="13" t="s">
        <v>42</v>
      </c>
      <c r="G97" s="13" t="s">
        <v>43</v>
      </c>
      <c r="H97" s="13" t="s">
        <v>257</v>
      </c>
      <c r="I97" s="13">
        <v>606</v>
      </c>
      <c r="J97" s="14">
        <v>46276.550416666672</v>
      </c>
      <c r="K97" s="16">
        <v>7.49</v>
      </c>
      <c r="L97" s="13" t="b">
        <v>1</v>
      </c>
      <c r="M97" s="13" t="s">
        <v>49</v>
      </c>
      <c r="N97" s="13" t="s">
        <v>258</v>
      </c>
      <c r="O97" s="14">
        <v>46276.908333333333</v>
      </c>
      <c r="P97" s="13">
        <v>66</v>
      </c>
      <c r="Q97" s="13" t="s">
        <v>238</v>
      </c>
      <c r="R97" s="13">
        <v>4</v>
      </c>
    </row>
    <row r="98" spans="1:18" x14ac:dyDescent="0.3">
      <c r="A98" s="13" t="s">
        <v>259</v>
      </c>
      <c r="B98" s="14">
        <v>46278.902777777781</v>
      </c>
      <c r="C98" s="15">
        <v>46278</v>
      </c>
      <c r="D98" s="13" t="s">
        <v>187</v>
      </c>
      <c r="E98" s="13" t="s">
        <v>188</v>
      </c>
      <c r="F98" s="13" t="s">
        <v>42</v>
      </c>
      <c r="G98" s="13" t="s">
        <v>43</v>
      </c>
      <c r="H98" s="13" t="s">
        <v>260</v>
      </c>
      <c r="I98" s="13">
        <v>607</v>
      </c>
      <c r="J98" s="14">
        <v>46278.419027777767</v>
      </c>
      <c r="K98" s="16">
        <v>11.61</v>
      </c>
      <c r="L98" s="13" t="b">
        <v>0</v>
      </c>
      <c r="M98" s="13"/>
      <c r="N98" s="13"/>
      <c r="O98" s="14"/>
      <c r="P98" s="13"/>
      <c r="Q98" s="13"/>
      <c r="R98" s="13">
        <v>3</v>
      </c>
    </row>
    <row r="99" spans="1:18" x14ac:dyDescent="0.3">
      <c r="A99" s="13" t="s">
        <v>261</v>
      </c>
      <c r="B99" s="14">
        <v>46279.786111111112</v>
      </c>
      <c r="C99" s="15">
        <v>46279</v>
      </c>
      <c r="D99" s="13" t="s">
        <v>187</v>
      </c>
      <c r="E99" s="13" t="s">
        <v>188</v>
      </c>
      <c r="F99" s="13" t="s">
        <v>42</v>
      </c>
      <c r="G99" s="13" t="s">
        <v>43</v>
      </c>
      <c r="H99" s="13" t="s">
        <v>262</v>
      </c>
      <c r="I99" s="13">
        <v>608</v>
      </c>
      <c r="J99" s="14">
        <v>46279.602777777778</v>
      </c>
      <c r="K99" s="16">
        <v>4.4000000000000004</v>
      </c>
      <c r="L99" s="13" t="b">
        <v>0</v>
      </c>
      <c r="M99" s="13"/>
      <c r="N99" s="13"/>
      <c r="O99" s="14"/>
      <c r="P99" s="13"/>
      <c r="Q99" s="13"/>
      <c r="R99" s="13">
        <v>2</v>
      </c>
    </row>
    <row r="100" spans="1:18" x14ac:dyDescent="0.3">
      <c r="A100" s="13" t="s">
        <v>263</v>
      </c>
      <c r="B100" s="14">
        <v>46280.543055555558</v>
      </c>
      <c r="C100" s="15">
        <v>46280</v>
      </c>
      <c r="D100" s="13" t="s">
        <v>187</v>
      </c>
      <c r="E100" s="13" t="s">
        <v>188</v>
      </c>
      <c r="F100" s="13" t="s">
        <v>42</v>
      </c>
      <c r="G100" s="13" t="s">
        <v>43</v>
      </c>
      <c r="H100" s="13" t="s">
        <v>264</v>
      </c>
      <c r="I100" s="13">
        <v>611</v>
      </c>
      <c r="J100" s="14">
        <v>46280.093055555553</v>
      </c>
      <c r="K100" s="16">
        <v>10.8</v>
      </c>
      <c r="L100" s="13" t="b">
        <v>0</v>
      </c>
      <c r="M100" s="13"/>
      <c r="N100" s="13"/>
      <c r="O100" s="14"/>
      <c r="P100" s="13"/>
      <c r="Q100" s="13"/>
      <c r="R100" s="13">
        <v>6</v>
      </c>
    </row>
    <row r="101" spans="1:18" x14ac:dyDescent="0.3">
      <c r="A101" s="13" t="s">
        <v>265</v>
      </c>
      <c r="B101" s="14">
        <v>46280.918749999997</v>
      </c>
      <c r="C101" s="15">
        <v>46280</v>
      </c>
      <c r="D101" s="13" t="s">
        <v>187</v>
      </c>
      <c r="E101" s="13" t="s">
        <v>188</v>
      </c>
      <c r="F101" s="13" t="s">
        <v>42</v>
      </c>
      <c r="G101" s="13" t="s">
        <v>43</v>
      </c>
      <c r="H101" s="13" t="s">
        <v>266</v>
      </c>
      <c r="I101" s="13">
        <v>613</v>
      </c>
      <c r="J101" s="14">
        <v>46280.422083333331</v>
      </c>
      <c r="K101" s="16">
        <v>11.92</v>
      </c>
      <c r="L101" s="13" t="b">
        <v>0</v>
      </c>
      <c r="M101" s="13"/>
      <c r="N101" s="13"/>
      <c r="O101" s="14"/>
      <c r="P101" s="13"/>
      <c r="Q101" s="13"/>
      <c r="R101" s="13">
        <v>6</v>
      </c>
    </row>
    <row r="102" spans="1:18" x14ac:dyDescent="0.3">
      <c r="A102" s="13" t="s">
        <v>267</v>
      </c>
      <c r="B102" s="14">
        <v>46281.865277777782</v>
      </c>
      <c r="C102" s="15">
        <v>46281</v>
      </c>
      <c r="D102" s="13" t="s">
        <v>187</v>
      </c>
      <c r="E102" s="13" t="s">
        <v>188</v>
      </c>
      <c r="F102" s="13" t="s">
        <v>42</v>
      </c>
      <c r="G102" s="13" t="s">
        <v>43</v>
      </c>
      <c r="H102" s="13" t="s">
        <v>268</v>
      </c>
      <c r="I102" s="13">
        <v>616</v>
      </c>
      <c r="J102" s="14">
        <v>46281.552361111113</v>
      </c>
      <c r="K102" s="16">
        <v>7.51</v>
      </c>
      <c r="L102" s="13" t="b">
        <v>1</v>
      </c>
      <c r="M102" s="13" t="s">
        <v>89</v>
      </c>
      <c r="N102" s="13" t="s">
        <v>269</v>
      </c>
      <c r="O102" s="14">
        <v>46281.881249999999</v>
      </c>
      <c r="P102" s="13">
        <v>23</v>
      </c>
      <c r="Q102" s="13" t="s">
        <v>238</v>
      </c>
      <c r="R102" s="13">
        <v>4</v>
      </c>
    </row>
    <row r="103" spans="1:18" x14ac:dyDescent="0.3">
      <c r="A103" s="13" t="s">
        <v>270</v>
      </c>
      <c r="B103" s="14">
        <v>46281.879166666673</v>
      </c>
      <c r="C103" s="15">
        <v>46281</v>
      </c>
      <c r="D103" s="13" t="s">
        <v>187</v>
      </c>
      <c r="E103" s="13" t="s">
        <v>188</v>
      </c>
      <c r="F103" s="13" t="s">
        <v>42</v>
      </c>
      <c r="G103" s="13" t="s">
        <v>43</v>
      </c>
      <c r="H103" s="13" t="s">
        <v>271</v>
      </c>
      <c r="I103" s="13">
        <v>619</v>
      </c>
      <c r="J103" s="14">
        <v>46281.649583333332</v>
      </c>
      <c r="K103" s="16">
        <v>5.51</v>
      </c>
      <c r="L103" s="13" t="b">
        <v>0</v>
      </c>
      <c r="M103" s="13"/>
      <c r="N103" s="13"/>
      <c r="O103" s="14"/>
      <c r="P103" s="13"/>
      <c r="Q103" s="13"/>
      <c r="R103" s="13">
        <v>3</v>
      </c>
    </row>
    <row r="104" spans="1:18" x14ac:dyDescent="0.3">
      <c r="A104" s="13" t="s">
        <v>272</v>
      </c>
      <c r="B104" s="14">
        <v>46282.542361111111</v>
      </c>
      <c r="C104" s="15">
        <v>46282</v>
      </c>
      <c r="D104" s="13" t="s">
        <v>187</v>
      </c>
      <c r="E104" s="13" t="s">
        <v>188</v>
      </c>
      <c r="F104" s="13" t="s">
        <v>42</v>
      </c>
      <c r="G104" s="13" t="s">
        <v>43</v>
      </c>
      <c r="H104" s="13" t="s">
        <v>273</v>
      </c>
      <c r="I104" s="13">
        <v>621</v>
      </c>
      <c r="J104" s="14">
        <v>46282.08902777778</v>
      </c>
      <c r="K104" s="16">
        <v>10.88</v>
      </c>
      <c r="L104" s="13" t="b">
        <v>0</v>
      </c>
      <c r="M104" s="13"/>
      <c r="N104" s="13"/>
      <c r="O104" s="14"/>
      <c r="P104" s="13"/>
      <c r="Q104" s="13"/>
      <c r="R104" s="13">
        <v>5</v>
      </c>
    </row>
    <row r="105" spans="1:18" x14ac:dyDescent="0.3">
      <c r="A105" s="13" t="s">
        <v>274</v>
      </c>
      <c r="B105" s="14">
        <v>46282.90347222222</v>
      </c>
      <c r="C105" s="15">
        <v>46282</v>
      </c>
      <c r="D105" s="13" t="s">
        <v>187</v>
      </c>
      <c r="E105" s="13" t="s">
        <v>188</v>
      </c>
      <c r="F105" s="13" t="s">
        <v>42</v>
      </c>
      <c r="G105" s="13" t="s">
        <v>43</v>
      </c>
      <c r="H105" s="13" t="s">
        <v>275</v>
      </c>
      <c r="I105" s="13">
        <v>623</v>
      </c>
      <c r="J105" s="14">
        <v>46281.541805555556</v>
      </c>
      <c r="K105" s="16">
        <v>32.68</v>
      </c>
      <c r="L105" s="13" t="b">
        <v>0</v>
      </c>
      <c r="M105" s="13"/>
      <c r="N105" s="13"/>
      <c r="O105" s="14"/>
      <c r="P105" s="13"/>
      <c r="Q105" s="13"/>
      <c r="R105" s="13">
        <v>2</v>
      </c>
    </row>
    <row r="106" spans="1:18" x14ac:dyDescent="0.3">
      <c r="A106" s="13" t="s">
        <v>276</v>
      </c>
      <c r="B106" s="14">
        <v>46283.680555555547</v>
      </c>
      <c r="C106" s="15">
        <v>46283</v>
      </c>
      <c r="D106" s="13" t="s">
        <v>187</v>
      </c>
      <c r="E106" s="13" t="s">
        <v>188</v>
      </c>
      <c r="F106" s="13" t="s">
        <v>42</v>
      </c>
      <c r="G106" s="13" t="s">
        <v>43</v>
      </c>
      <c r="H106" s="13" t="s">
        <v>277</v>
      </c>
      <c r="I106" s="13">
        <v>626</v>
      </c>
      <c r="J106" s="14">
        <v>46283.415138888893</v>
      </c>
      <c r="K106" s="16">
        <v>6.37</v>
      </c>
      <c r="L106" s="13" t="b">
        <v>0</v>
      </c>
      <c r="M106" s="13"/>
      <c r="N106" s="13"/>
      <c r="O106" s="14"/>
      <c r="P106" s="13"/>
      <c r="Q106" s="13"/>
      <c r="R106" s="13">
        <v>2</v>
      </c>
    </row>
    <row r="107" spans="1:18" x14ac:dyDescent="0.3">
      <c r="A107" s="13" t="s">
        <v>278</v>
      </c>
      <c r="B107" s="14">
        <v>46283.763888888891</v>
      </c>
      <c r="C107" s="15">
        <v>46283</v>
      </c>
      <c r="D107" s="13" t="s">
        <v>187</v>
      </c>
      <c r="E107" s="13" t="s">
        <v>188</v>
      </c>
      <c r="F107" s="13" t="s">
        <v>42</v>
      </c>
      <c r="G107" s="13" t="s">
        <v>43</v>
      </c>
      <c r="H107" s="13" t="s">
        <v>279</v>
      </c>
      <c r="I107" s="13">
        <v>627</v>
      </c>
      <c r="J107" s="14">
        <v>46283.414305555547</v>
      </c>
      <c r="K107" s="16">
        <v>8.39</v>
      </c>
      <c r="L107" s="13" t="b">
        <v>0</v>
      </c>
      <c r="M107" s="13"/>
      <c r="N107" s="13"/>
      <c r="O107" s="14"/>
      <c r="P107" s="13"/>
      <c r="Q107" s="13"/>
      <c r="R107" s="13">
        <v>2</v>
      </c>
    </row>
    <row r="108" spans="1:18" x14ac:dyDescent="0.3">
      <c r="A108" s="13" t="s">
        <v>280</v>
      </c>
      <c r="B108" s="14">
        <v>46283.856249999997</v>
      </c>
      <c r="C108" s="15">
        <v>46283</v>
      </c>
      <c r="D108" s="13" t="s">
        <v>187</v>
      </c>
      <c r="E108" s="13" t="s">
        <v>188</v>
      </c>
      <c r="F108" s="13" t="s">
        <v>42</v>
      </c>
      <c r="G108" s="13" t="s">
        <v>43</v>
      </c>
      <c r="H108" s="13" t="s">
        <v>281</v>
      </c>
      <c r="I108" s="13">
        <v>628</v>
      </c>
      <c r="J108" s="14">
        <v>46283.659583333327</v>
      </c>
      <c r="K108" s="16">
        <v>4.72</v>
      </c>
      <c r="L108" s="13" t="b">
        <v>0</v>
      </c>
      <c r="M108" s="13"/>
      <c r="N108" s="13"/>
      <c r="O108" s="14"/>
      <c r="P108" s="13"/>
      <c r="Q108" s="13"/>
      <c r="R108" s="13">
        <v>3</v>
      </c>
    </row>
    <row r="109" spans="1:18" x14ac:dyDescent="0.3">
      <c r="A109" s="13" t="s">
        <v>282</v>
      </c>
      <c r="B109" s="14">
        <v>46283.916666666657</v>
      </c>
      <c r="C109" s="15">
        <v>46283</v>
      </c>
      <c r="D109" s="13" t="s">
        <v>187</v>
      </c>
      <c r="E109" s="13" t="s">
        <v>188</v>
      </c>
      <c r="F109" s="13" t="s">
        <v>42</v>
      </c>
      <c r="G109" s="13" t="s">
        <v>43</v>
      </c>
      <c r="H109" s="13" t="s">
        <v>283</v>
      </c>
      <c r="I109" s="13">
        <v>629</v>
      </c>
      <c r="J109" s="14">
        <v>46283.675416666672</v>
      </c>
      <c r="K109" s="16">
        <v>5.79</v>
      </c>
      <c r="L109" s="13" t="b">
        <v>0</v>
      </c>
      <c r="M109" s="13"/>
      <c r="N109" s="13"/>
      <c r="O109" s="14"/>
      <c r="P109" s="13"/>
      <c r="Q109" s="13"/>
      <c r="R109" s="13">
        <v>5</v>
      </c>
    </row>
    <row r="110" spans="1:18" x14ac:dyDescent="0.3">
      <c r="A110" s="13" t="s">
        <v>284</v>
      </c>
      <c r="B110" s="14">
        <v>46285.543055555558</v>
      </c>
      <c r="C110" s="15">
        <v>46285</v>
      </c>
      <c r="D110" s="13" t="s">
        <v>187</v>
      </c>
      <c r="E110" s="13" t="s">
        <v>188</v>
      </c>
      <c r="F110" s="13" t="s">
        <v>42</v>
      </c>
      <c r="G110" s="13" t="s">
        <v>43</v>
      </c>
      <c r="H110" s="13" t="s">
        <v>285</v>
      </c>
      <c r="I110" s="13">
        <v>630</v>
      </c>
      <c r="J110" s="14">
        <v>46285.308055555557</v>
      </c>
      <c r="K110" s="16">
        <v>5.64</v>
      </c>
      <c r="L110" s="13" t="b">
        <v>0</v>
      </c>
      <c r="M110" s="13"/>
      <c r="N110" s="13"/>
      <c r="O110" s="14"/>
      <c r="P110" s="13"/>
      <c r="Q110" s="13"/>
      <c r="R110" s="13">
        <v>6</v>
      </c>
    </row>
    <row r="111" spans="1:18" x14ac:dyDescent="0.3">
      <c r="A111" s="13" t="s">
        <v>286</v>
      </c>
      <c r="B111" s="14">
        <v>46285.868055555547</v>
      </c>
      <c r="C111" s="15">
        <v>46285</v>
      </c>
      <c r="D111" s="13" t="s">
        <v>187</v>
      </c>
      <c r="E111" s="13" t="s">
        <v>188</v>
      </c>
      <c r="F111" s="13" t="s">
        <v>42</v>
      </c>
      <c r="G111" s="13" t="s">
        <v>43</v>
      </c>
      <c r="H111" s="13" t="s">
        <v>287</v>
      </c>
      <c r="I111" s="13">
        <v>631</v>
      </c>
      <c r="J111" s="14">
        <v>46285.425138888888</v>
      </c>
      <c r="K111" s="16">
        <v>10.63</v>
      </c>
      <c r="L111" s="13" t="b">
        <v>0</v>
      </c>
      <c r="M111" s="13"/>
      <c r="N111" s="13"/>
      <c r="O111" s="14"/>
      <c r="P111" s="13"/>
      <c r="Q111" s="13"/>
      <c r="R111" s="13">
        <v>3</v>
      </c>
    </row>
    <row r="112" spans="1:18" x14ac:dyDescent="0.3">
      <c r="A112" s="13" t="s">
        <v>288</v>
      </c>
      <c r="B112" s="14">
        <v>46286.638194444437</v>
      </c>
      <c r="C112" s="15">
        <v>46286</v>
      </c>
      <c r="D112" s="13" t="s">
        <v>187</v>
      </c>
      <c r="E112" s="13" t="s">
        <v>188</v>
      </c>
      <c r="F112" s="13" t="s">
        <v>42</v>
      </c>
      <c r="G112" s="13" t="s">
        <v>43</v>
      </c>
      <c r="H112" s="13" t="s">
        <v>289</v>
      </c>
      <c r="I112" s="13">
        <v>634</v>
      </c>
      <c r="J112" s="14">
        <v>46286.437361111108</v>
      </c>
      <c r="K112" s="16">
        <v>4.82</v>
      </c>
      <c r="L112" s="13" t="b">
        <v>0</v>
      </c>
      <c r="M112" s="13"/>
      <c r="N112" s="13"/>
      <c r="O112" s="14"/>
      <c r="P112" s="13"/>
      <c r="Q112" s="13"/>
      <c r="R112" s="13">
        <v>3</v>
      </c>
    </row>
    <row r="113" spans="1:18" x14ac:dyDescent="0.3">
      <c r="A113" s="13" t="s">
        <v>290</v>
      </c>
      <c r="B113" s="14">
        <v>46286.902777777781</v>
      </c>
      <c r="C113" s="15">
        <v>46286</v>
      </c>
      <c r="D113" s="13" t="s">
        <v>187</v>
      </c>
      <c r="E113" s="13" t="s">
        <v>188</v>
      </c>
      <c r="F113" s="13" t="s">
        <v>42</v>
      </c>
      <c r="G113" s="13" t="s">
        <v>43</v>
      </c>
      <c r="H113" s="13" t="s">
        <v>291</v>
      </c>
      <c r="I113" s="13">
        <v>637</v>
      </c>
      <c r="J113" s="14">
        <v>46286.754861111112</v>
      </c>
      <c r="K113" s="16">
        <v>3.55</v>
      </c>
      <c r="L113" s="13" t="b">
        <v>0</v>
      </c>
      <c r="M113" s="13"/>
      <c r="N113" s="13"/>
      <c r="O113" s="14"/>
      <c r="P113" s="13"/>
      <c r="Q113" s="13"/>
      <c r="R113" s="13">
        <v>6</v>
      </c>
    </row>
    <row r="114" spans="1:18" x14ac:dyDescent="0.3">
      <c r="A114" s="13" t="s">
        <v>292</v>
      </c>
      <c r="B114" s="14">
        <v>46286.957638888889</v>
      </c>
      <c r="C114" s="15">
        <v>46286</v>
      </c>
      <c r="D114" s="13" t="s">
        <v>187</v>
      </c>
      <c r="E114" s="13" t="s">
        <v>188</v>
      </c>
      <c r="F114" s="13" t="s">
        <v>42</v>
      </c>
      <c r="G114" s="13" t="s">
        <v>43</v>
      </c>
      <c r="H114" s="13" t="s">
        <v>293</v>
      </c>
      <c r="I114" s="13">
        <v>639</v>
      </c>
      <c r="J114" s="14">
        <v>46286.776388888888</v>
      </c>
      <c r="K114" s="16">
        <v>4.3499999999999996</v>
      </c>
      <c r="L114" s="13" t="b">
        <v>0</v>
      </c>
      <c r="M114" s="13"/>
      <c r="N114" s="13"/>
      <c r="O114" s="14"/>
      <c r="P114" s="13"/>
      <c r="Q114" s="13"/>
      <c r="R114" s="13">
        <v>6</v>
      </c>
    </row>
    <row r="115" spans="1:18" x14ac:dyDescent="0.3">
      <c r="A115" s="13" t="s">
        <v>294</v>
      </c>
      <c r="B115" s="14">
        <v>46287.752083333333</v>
      </c>
      <c r="C115" s="15">
        <v>46287</v>
      </c>
      <c r="D115" s="13" t="s">
        <v>187</v>
      </c>
      <c r="E115" s="13" t="s">
        <v>188</v>
      </c>
      <c r="F115" s="13" t="s">
        <v>42</v>
      </c>
      <c r="G115" s="13" t="s">
        <v>43</v>
      </c>
      <c r="H115" s="13" t="s">
        <v>295</v>
      </c>
      <c r="I115" s="13">
        <v>641</v>
      </c>
      <c r="J115" s="14">
        <v>46287.440416666657</v>
      </c>
      <c r="K115" s="16">
        <v>7.48</v>
      </c>
      <c r="L115" s="13" t="b">
        <v>0</v>
      </c>
      <c r="M115" s="13"/>
      <c r="N115" s="13"/>
      <c r="O115" s="14"/>
      <c r="P115" s="13"/>
      <c r="Q115" s="13"/>
      <c r="R115" s="13">
        <v>2</v>
      </c>
    </row>
    <row r="116" spans="1:18" x14ac:dyDescent="0.3">
      <c r="A116" s="13" t="s">
        <v>296</v>
      </c>
      <c r="B116" s="14">
        <v>46287.847222222219</v>
      </c>
      <c r="C116" s="15">
        <v>46287</v>
      </c>
      <c r="D116" s="13" t="s">
        <v>187</v>
      </c>
      <c r="E116" s="13" t="s">
        <v>188</v>
      </c>
      <c r="F116" s="13" t="s">
        <v>42</v>
      </c>
      <c r="G116" s="13" t="s">
        <v>43</v>
      </c>
      <c r="H116" s="13" t="s">
        <v>297</v>
      </c>
      <c r="I116" s="13">
        <v>643</v>
      </c>
      <c r="J116" s="14">
        <v>46287.613055555557</v>
      </c>
      <c r="K116" s="16">
        <v>5.62</v>
      </c>
      <c r="L116" s="13" t="b">
        <v>0</v>
      </c>
      <c r="M116" s="13"/>
      <c r="N116" s="13"/>
      <c r="O116" s="14"/>
      <c r="P116" s="13"/>
      <c r="Q116" s="13"/>
      <c r="R116" s="13">
        <v>6</v>
      </c>
    </row>
    <row r="117" spans="1:18" x14ac:dyDescent="0.3">
      <c r="A117" s="13" t="s">
        <v>298</v>
      </c>
      <c r="B117" s="14">
        <v>46287.856249999997</v>
      </c>
      <c r="C117" s="15">
        <v>46287</v>
      </c>
      <c r="D117" s="13" t="s">
        <v>187</v>
      </c>
      <c r="E117" s="13" t="s">
        <v>188</v>
      </c>
      <c r="F117" s="13" t="s">
        <v>42</v>
      </c>
      <c r="G117" s="13" t="s">
        <v>43</v>
      </c>
      <c r="H117" s="13" t="s">
        <v>299</v>
      </c>
      <c r="I117" s="13">
        <v>644</v>
      </c>
      <c r="J117" s="14">
        <v>46287.474166666667</v>
      </c>
      <c r="K117" s="16">
        <v>9.17</v>
      </c>
      <c r="L117" s="13" t="b">
        <v>0</v>
      </c>
      <c r="M117" s="13"/>
      <c r="N117" s="13"/>
      <c r="O117" s="14"/>
      <c r="P117" s="13"/>
      <c r="Q117" s="13"/>
      <c r="R117" s="13">
        <v>6</v>
      </c>
    </row>
    <row r="118" spans="1:18" x14ac:dyDescent="0.3">
      <c r="A118" s="13" t="s">
        <v>300</v>
      </c>
      <c r="B118" s="14">
        <v>46287.876388888893</v>
      </c>
      <c r="C118" s="15">
        <v>46287</v>
      </c>
      <c r="D118" s="13" t="s">
        <v>187</v>
      </c>
      <c r="E118" s="13" t="s">
        <v>188</v>
      </c>
      <c r="F118" s="13" t="s">
        <v>42</v>
      </c>
      <c r="G118" s="13" t="s">
        <v>43</v>
      </c>
      <c r="H118" s="13" t="s">
        <v>301</v>
      </c>
      <c r="I118" s="13">
        <v>646</v>
      </c>
      <c r="J118" s="14">
        <v>46287.549722222233</v>
      </c>
      <c r="K118" s="16">
        <v>7.84</v>
      </c>
      <c r="L118" s="13" t="b">
        <v>0</v>
      </c>
      <c r="M118" s="13"/>
      <c r="N118" s="13"/>
      <c r="O118" s="14"/>
      <c r="P118" s="13"/>
      <c r="Q118" s="13"/>
      <c r="R118" s="13">
        <v>6</v>
      </c>
    </row>
    <row r="119" spans="1:18" x14ac:dyDescent="0.3">
      <c r="A119" s="13" t="s">
        <v>302</v>
      </c>
      <c r="B119" s="14">
        <v>46288.59097222222</v>
      </c>
      <c r="C119" s="15">
        <v>46288</v>
      </c>
      <c r="D119" s="13" t="s">
        <v>187</v>
      </c>
      <c r="E119" s="13" t="s">
        <v>188</v>
      </c>
      <c r="F119" s="13" t="s">
        <v>42</v>
      </c>
      <c r="G119" s="13" t="s">
        <v>43</v>
      </c>
      <c r="H119" s="13" t="s">
        <v>303</v>
      </c>
      <c r="I119" s="13">
        <v>647</v>
      </c>
      <c r="J119" s="14">
        <v>46288.016805555562</v>
      </c>
      <c r="K119" s="16">
        <v>13.78</v>
      </c>
      <c r="L119" s="13" t="b">
        <v>0</v>
      </c>
      <c r="M119" s="13"/>
      <c r="N119" s="13"/>
      <c r="O119" s="14"/>
      <c r="P119" s="13"/>
      <c r="Q119" s="13"/>
      <c r="R119" s="13">
        <v>3</v>
      </c>
    </row>
    <row r="120" spans="1:18" x14ac:dyDescent="0.3">
      <c r="A120" s="13" t="s">
        <v>304</v>
      </c>
      <c r="B120" s="14">
        <v>46288.693055555559</v>
      </c>
      <c r="C120" s="15">
        <v>46288</v>
      </c>
      <c r="D120" s="13" t="s">
        <v>187</v>
      </c>
      <c r="E120" s="13" t="s">
        <v>188</v>
      </c>
      <c r="F120" s="13" t="s">
        <v>42</v>
      </c>
      <c r="G120" s="13" t="s">
        <v>43</v>
      </c>
      <c r="H120" s="13" t="s">
        <v>305</v>
      </c>
      <c r="I120" s="13">
        <v>648</v>
      </c>
      <c r="J120" s="14">
        <v>46288.195555555547</v>
      </c>
      <c r="K120" s="16">
        <v>11.94</v>
      </c>
      <c r="L120" s="13" t="b">
        <v>0</v>
      </c>
      <c r="M120" s="13"/>
      <c r="N120" s="13"/>
      <c r="O120" s="14"/>
      <c r="P120" s="13"/>
      <c r="Q120" s="13"/>
      <c r="R120" s="13">
        <v>6</v>
      </c>
    </row>
    <row r="121" spans="1:18" x14ac:dyDescent="0.3">
      <c r="A121" s="13" t="s">
        <v>306</v>
      </c>
      <c r="B121" s="14">
        <v>46290.870138888888</v>
      </c>
      <c r="C121" s="15">
        <v>46290</v>
      </c>
      <c r="D121" s="13" t="s">
        <v>187</v>
      </c>
      <c r="E121" s="13" t="s">
        <v>188</v>
      </c>
      <c r="F121" s="13" t="s">
        <v>42</v>
      </c>
      <c r="G121" s="13" t="s">
        <v>43</v>
      </c>
      <c r="H121" s="13" t="s">
        <v>307</v>
      </c>
      <c r="I121" s="13">
        <v>649</v>
      </c>
      <c r="J121" s="14">
        <v>46290.513888888891</v>
      </c>
      <c r="K121" s="16">
        <v>8.5500000000000007</v>
      </c>
      <c r="L121" s="13" t="b">
        <v>0</v>
      </c>
      <c r="M121" s="13"/>
      <c r="N121" s="13"/>
      <c r="O121" s="14"/>
      <c r="P121" s="13"/>
      <c r="Q121" s="13"/>
      <c r="R121" s="13">
        <v>5</v>
      </c>
    </row>
    <row r="122" spans="1:18" x14ac:dyDescent="0.3">
      <c r="A122" s="13" t="s">
        <v>308</v>
      </c>
      <c r="B122" s="14">
        <v>46293.633333333331</v>
      </c>
      <c r="C122" s="15">
        <v>46293</v>
      </c>
      <c r="D122" s="13" t="s">
        <v>187</v>
      </c>
      <c r="E122" s="13" t="s">
        <v>188</v>
      </c>
      <c r="F122" s="13" t="s">
        <v>42</v>
      </c>
      <c r="G122" s="13" t="s">
        <v>43</v>
      </c>
      <c r="H122" s="13" t="s">
        <v>309</v>
      </c>
      <c r="I122" s="13">
        <v>652</v>
      </c>
      <c r="J122" s="14">
        <v>46293.246249999997</v>
      </c>
      <c r="K122" s="16">
        <v>9.2899999999999991</v>
      </c>
      <c r="L122" s="13" t="b">
        <v>0</v>
      </c>
      <c r="M122" s="13"/>
      <c r="N122" s="13"/>
      <c r="O122" s="14"/>
      <c r="P122" s="13"/>
      <c r="Q122" s="13"/>
      <c r="R122" s="13">
        <v>5</v>
      </c>
    </row>
    <row r="123" spans="1:18" x14ac:dyDescent="0.3">
      <c r="A123" s="13" t="s">
        <v>310</v>
      </c>
      <c r="B123" s="14">
        <v>46293.654166666667</v>
      </c>
      <c r="C123" s="15">
        <v>46293</v>
      </c>
      <c r="D123" s="13" t="s">
        <v>187</v>
      </c>
      <c r="E123" s="13" t="s">
        <v>188</v>
      </c>
      <c r="F123" s="13" t="s">
        <v>42</v>
      </c>
      <c r="G123" s="13" t="s">
        <v>43</v>
      </c>
      <c r="H123" s="13" t="s">
        <v>311</v>
      </c>
      <c r="I123" s="13">
        <v>655</v>
      </c>
      <c r="J123" s="14">
        <v>46292.888333333343</v>
      </c>
      <c r="K123" s="16">
        <v>18.38</v>
      </c>
      <c r="L123" s="13" t="b">
        <v>1</v>
      </c>
      <c r="M123" s="13" t="s">
        <v>68</v>
      </c>
      <c r="N123" s="13" t="s">
        <v>312</v>
      </c>
      <c r="O123" s="14">
        <v>46293.672222222223</v>
      </c>
      <c r="P123" s="13">
        <v>26</v>
      </c>
      <c r="Q123" s="13" t="s">
        <v>238</v>
      </c>
      <c r="R123" s="13">
        <v>4</v>
      </c>
    </row>
    <row r="124" spans="1:18" x14ac:dyDescent="0.3">
      <c r="A124" s="13" t="s">
        <v>313</v>
      </c>
      <c r="B124" s="14">
        <v>46293.817361111112</v>
      </c>
      <c r="C124" s="15">
        <v>46293</v>
      </c>
      <c r="D124" s="13" t="s">
        <v>187</v>
      </c>
      <c r="E124" s="13" t="s">
        <v>188</v>
      </c>
      <c r="F124" s="13" t="s">
        <v>42</v>
      </c>
      <c r="G124" s="13" t="s">
        <v>43</v>
      </c>
      <c r="H124" s="13" t="s">
        <v>314</v>
      </c>
      <c r="I124" s="13">
        <v>658</v>
      </c>
      <c r="J124" s="14">
        <v>46293.578194444453</v>
      </c>
      <c r="K124" s="16">
        <v>5.74</v>
      </c>
      <c r="L124" s="13" t="b">
        <v>0</v>
      </c>
      <c r="M124" s="13"/>
      <c r="N124" s="13"/>
      <c r="O124" s="14"/>
      <c r="P124" s="13"/>
      <c r="Q124" s="13"/>
      <c r="R124" s="13">
        <v>3</v>
      </c>
    </row>
    <row r="125" spans="1:18" x14ac:dyDescent="0.3">
      <c r="A125" s="13" t="s">
        <v>315</v>
      </c>
      <c r="B125" s="14">
        <v>46293.90347222222</v>
      </c>
      <c r="C125" s="15">
        <v>46293</v>
      </c>
      <c r="D125" s="13" t="s">
        <v>187</v>
      </c>
      <c r="E125" s="13" t="s">
        <v>188</v>
      </c>
      <c r="F125" s="13" t="s">
        <v>42</v>
      </c>
      <c r="G125" s="13" t="s">
        <v>43</v>
      </c>
      <c r="H125" s="13" t="s">
        <v>316</v>
      </c>
      <c r="I125" s="13">
        <v>661</v>
      </c>
      <c r="J125" s="14">
        <v>46293.714722222219</v>
      </c>
      <c r="K125" s="16">
        <v>4.53</v>
      </c>
      <c r="L125" s="13" t="b">
        <v>0</v>
      </c>
      <c r="M125" s="13"/>
      <c r="N125" s="13"/>
      <c r="O125" s="14"/>
      <c r="P125" s="13"/>
      <c r="Q125" s="13"/>
      <c r="R125" s="13">
        <v>5</v>
      </c>
    </row>
  </sheetData>
  <autoFilter ref="A1:R125" xr:uid="{00000000-0009-0000-0000-000001000000}"/>
  <conditionalFormatting sqref="A2:R125">
    <cfRule type="expression" dxfId="8" priority="1">
      <formula>$L2=TRUE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showGridLines="0" workbookViewId="0"/>
  </sheetViews>
  <sheetFormatPr defaultRowHeight="14.4" x14ac:dyDescent="0.3"/>
  <cols>
    <col min="1" max="1" width="40" customWidth="1"/>
    <col min="2" max="2" width="13" customWidth="1"/>
    <col min="3" max="3" width="15" customWidth="1"/>
    <col min="4" max="6" width="12" customWidth="1"/>
    <col min="7" max="7" width="60" customWidth="1"/>
  </cols>
  <sheetData>
    <row r="1" spans="1:7" ht="21" x14ac:dyDescent="0.4">
      <c r="A1" s="1" t="s">
        <v>317</v>
      </c>
    </row>
    <row r="2" spans="1:7" x14ac:dyDescent="0.3">
      <c r="A2" s="2" t="s">
        <v>318</v>
      </c>
    </row>
    <row r="3" spans="1:7" x14ac:dyDescent="0.3">
      <c r="A3" s="35" t="s">
        <v>319</v>
      </c>
      <c r="B3" s="34"/>
      <c r="C3" s="34"/>
      <c r="D3" s="34"/>
      <c r="E3" s="34"/>
      <c r="F3" s="34"/>
      <c r="G3" s="34"/>
    </row>
    <row r="4" spans="1:7" x14ac:dyDescent="0.3">
      <c r="C4" t="s">
        <v>320</v>
      </c>
      <c r="D4" s="15">
        <v>46204</v>
      </c>
      <c r="E4" t="s">
        <v>321</v>
      </c>
      <c r="F4" s="15">
        <v>46293</v>
      </c>
    </row>
    <row r="5" spans="1:7" x14ac:dyDescent="0.3">
      <c r="A5" s="3" t="s">
        <v>322</v>
      </c>
      <c r="B5" s="3" t="s">
        <v>323</v>
      </c>
      <c r="C5" s="3" t="s">
        <v>4</v>
      </c>
      <c r="D5" s="3" t="s">
        <v>40</v>
      </c>
      <c r="E5" s="3" t="s">
        <v>114</v>
      </c>
      <c r="F5" s="3" t="s">
        <v>187</v>
      </c>
      <c r="G5" s="3" t="s">
        <v>324</v>
      </c>
    </row>
    <row r="6" spans="1:7" x14ac:dyDescent="0.3">
      <c r="A6" s="4" t="s">
        <v>325</v>
      </c>
      <c r="B6" s="17" t="s">
        <v>326</v>
      </c>
      <c r="C6" s="18">
        <v>90</v>
      </c>
      <c r="D6" s="18">
        <v>30</v>
      </c>
      <c r="E6" s="18">
        <v>30</v>
      </c>
      <c r="F6" s="18">
        <v>30</v>
      </c>
      <c r="G6" s="19" t="s">
        <v>327</v>
      </c>
    </row>
    <row r="7" spans="1:7" x14ac:dyDescent="0.3">
      <c r="A7" s="4" t="s">
        <v>328</v>
      </c>
      <c r="B7" s="17" t="s">
        <v>329</v>
      </c>
      <c r="C7" s="20">
        <f>COUNTA(DeploymentId)</f>
        <v>124</v>
      </c>
      <c r="D7" s="20">
        <f>COUNTIF(Phase,D$5)</f>
        <v>29</v>
      </c>
      <c r="E7" s="20">
        <f>COUNTIF(Phase,E$5)</f>
        <v>34</v>
      </c>
      <c r="F7" s="20">
        <f>COUNTIF(Phase,F$5)</f>
        <v>61</v>
      </c>
      <c r="G7" s="19" t="s">
        <v>330</v>
      </c>
    </row>
    <row r="8" spans="1:7" x14ac:dyDescent="0.3">
      <c r="A8" s="4" t="s">
        <v>331</v>
      </c>
      <c r="B8" s="17" t="s">
        <v>332</v>
      </c>
      <c r="C8" s="21">
        <f>C7/C6</f>
        <v>1.3777777777777778</v>
      </c>
      <c r="D8" s="21">
        <f>D7/D6</f>
        <v>0.96666666666666667</v>
      </c>
      <c r="E8" s="21">
        <f>E7/E6</f>
        <v>1.1333333333333333</v>
      </c>
      <c r="F8" s="21">
        <f>F7/F6</f>
        <v>2.0333333333333332</v>
      </c>
      <c r="G8" s="19" t="s">
        <v>333</v>
      </c>
    </row>
    <row r="9" spans="1:7" x14ac:dyDescent="0.3">
      <c r="A9" s="4" t="s">
        <v>331</v>
      </c>
      <c r="B9" s="17" t="s">
        <v>334</v>
      </c>
      <c r="C9" s="22">
        <f>C8*7</f>
        <v>9.6444444444444439</v>
      </c>
      <c r="D9" s="22">
        <f>D8*7</f>
        <v>6.7666666666666666</v>
      </c>
      <c r="E9" s="22">
        <f>E8*7</f>
        <v>7.9333333333333336</v>
      </c>
      <c r="F9" s="22">
        <f>F8*7</f>
        <v>14.233333333333333</v>
      </c>
      <c r="G9" s="19" t="s">
        <v>335</v>
      </c>
    </row>
    <row r="10" spans="1:7" x14ac:dyDescent="0.3">
      <c r="A10" s="4" t="s">
        <v>336</v>
      </c>
      <c r="B10" s="17" t="s">
        <v>337</v>
      </c>
      <c r="C10" s="22">
        <f>MEDIAN(LeadTimeHours)</f>
        <v>12.86</v>
      </c>
      <c r="D10" s="22">
        <f t="array" ref="D10">MEDIAN(IF(Phase=D$5,LeadTimeHours))</f>
        <v>43.79</v>
      </c>
      <c r="E10" s="22">
        <f t="array" ref="E10">MEDIAN(IF(Phase=E$5,LeadTimeHours))</f>
        <v>22.204999999999998</v>
      </c>
      <c r="F10" s="22">
        <f t="array" ref="F10">MEDIAN(IF(Phase=F$5,LeadTimeHours))</f>
        <v>7.51</v>
      </c>
      <c r="G10" s="19" t="s">
        <v>338</v>
      </c>
    </row>
    <row r="11" spans="1:7" x14ac:dyDescent="0.3">
      <c r="A11" s="4" t="s">
        <v>339</v>
      </c>
      <c r="B11" s="17" t="s">
        <v>337</v>
      </c>
      <c r="C11" s="22">
        <f>PERCENTILE(LeadTimeHours,0.9)</f>
        <v>59.042000000000002</v>
      </c>
      <c r="D11" s="22">
        <f t="array" ref="D11">PERCENTILE(IF(Phase=D$5,LeadTimeHours),0.9)</f>
        <v>97.981999999999999</v>
      </c>
      <c r="E11" s="22">
        <f t="array" ref="E11">PERCENTILE(IF(Phase=E$5,LeadTimeHours),0.9)</f>
        <v>53.153999999999996</v>
      </c>
      <c r="F11" s="22">
        <f t="array" ref="F11">PERCENTILE(IF(Phase=F$5,LeadTimeHours),0.9)</f>
        <v>13.29</v>
      </c>
      <c r="G11" s="19" t="s">
        <v>340</v>
      </c>
    </row>
    <row r="12" spans="1:7" x14ac:dyDescent="0.3">
      <c r="A12" s="4" t="s">
        <v>341</v>
      </c>
      <c r="B12" s="17" t="s">
        <v>329</v>
      </c>
      <c r="C12" s="20">
        <f>COUNTIF(ChangeFailed,TRUE)</f>
        <v>14</v>
      </c>
      <c r="D12" s="20">
        <f>COUNTIFS(Phase,D$5,ChangeFailed,TRUE)</f>
        <v>7</v>
      </c>
      <c r="E12" s="20">
        <f>COUNTIFS(Phase,E$5,ChangeFailed,TRUE)</f>
        <v>2</v>
      </c>
      <c r="F12" s="20">
        <f>COUNTIFS(Phase,F$5,ChangeFailed,TRUE)</f>
        <v>5</v>
      </c>
      <c r="G12" s="19" t="s">
        <v>342</v>
      </c>
    </row>
    <row r="13" spans="1:7" x14ac:dyDescent="0.3">
      <c r="A13" s="4" t="s">
        <v>10</v>
      </c>
      <c r="B13" s="17" t="s">
        <v>343</v>
      </c>
      <c r="C13" s="23">
        <f>C12/C7</f>
        <v>0.11290322580645161</v>
      </c>
      <c r="D13" s="23">
        <f>D12/D7</f>
        <v>0.2413793103448276</v>
      </c>
      <c r="E13" s="23">
        <f>E12/E7</f>
        <v>5.8823529411764705E-2</v>
      </c>
      <c r="F13" s="23">
        <f>F12/F7</f>
        <v>8.1967213114754092E-2</v>
      </c>
      <c r="G13" s="19" t="s">
        <v>344</v>
      </c>
    </row>
    <row r="14" spans="1:7" x14ac:dyDescent="0.3">
      <c r="A14" s="4" t="s">
        <v>345</v>
      </c>
      <c r="B14" s="17" t="s">
        <v>346</v>
      </c>
      <c r="C14" s="20">
        <f t="array" ref="C14">MEDIAN(IF(ChangeFailed=TRUE,RecoveryMinutes))</f>
        <v>79</v>
      </c>
      <c r="D14" s="20">
        <f t="array" ref="D14">MEDIAN(IF((Phase=D$5)*(ChangeFailed=TRUE),RecoveryMinutes))</f>
        <v>224</v>
      </c>
      <c r="E14" s="20">
        <f t="array" ref="E14">MEDIAN(IF((Phase=E$5)*(ChangeFailed=TRUE),RecoveryMinutes))</f>
        <v>56.5</v>
      </c>
      <c r="F14" s="20">
        <f t="array" ref="F14">MEDIAN(IF((Phase=F$5)*(ChangeFailed=TRUE),RecoveryMinutes))</f>
        <v>36</v>
      </c>
      <c r="G14" s="19" t="s">
        <v>347</v>
      </c>
    </row>
    <row r="15" spans="1:7" x14ac:dyDescent="0.3">
      <c r="A15" s="4" t="s">
        <v>348</v>
      </c>
      <c r="B15" s="17" t="s">
        <v>346</v>
      </c>
      <c r="C15" s="20">
        <f>AVERAGEIFS(RecoveryMinutes,ChangeFailed,TRUE)</f>
        <v>184.5</v>
      </c>
      <c r="D15" s="20">
        <f>AVERAGEIFS(RecoveryMinutes,Phase,D$5,ChangeFailed,TRUE)</f>
        <v>322.71428571428572</v>
      </c>
      <c r="E15" s="20">
        <f>AVERAGEIFS(RecoveryMinutes,Phase,E$5,ChangeFailed,TRUE)</f>
        <v>56.5</v>
      </c>
      <c r="F15" s="20">
        <f>AVERAGEIFS(RecoveryMinutes,Phase,F$5,ChangeFailed,TRUE)</f>
        <v>42.2</v>
      </c>
      <c r="G15" s="19" t="s">
        <v>349</v>
      </c>
    </row>
    <row r="16" spans="1:7" ht="26.4" x14ac:dyDescent="0.3">
      <c r="A16" s="4" t="s">
        <v>350</v>
      </c>
      <c r="B16" s="17" t="s">
        <v>337</v>
      </c>
      <c r="C16" s="22">
        <f>SUM(ToilMinutes)/60</f>
        <v>40.783333333333331</v>
      </c>
      <c r="D16" s="22">
        <f>SUMIF(Phase,D$5,ToilMinutes)/60</f>
        <v>24.1</v>
      </c>
      <c r="E16" s="22">
        <f>SUMIF(Phase,E$5,ToilMinutes)/60</f>
        <v>12.483333333333333</v>
      </c>
      <c r="F16" s="22">
        <f>SUMIF(Phase,F$5,ToilMinutes)/60</f>
        <v>4.2</v>
      </c>
      <c r="G16" s="19" t="s">
        <v>351</v>
      </c>
    </row>
    <row r="17" spans="1:7" x14ac:dyDescent="0.3">
      <c r="A17" s="4" t="s">
        <v>352</v>
      </c>
      <c r="B17" s="17" t="s">
        <v>346</v>
      </c>
      <c r="C17" s="22">
        <f>C16*60/C7</f>
        <v>19.733870967741936</v>
      </c>
      <c r="D17" s="22">
        <f>D16*60/D7</f>
        <v>49.862068965517238</v>
      </c>
      <c r="E17" s="22">
        <f>E16*60/E7</f>
        <v>22.029411764705884</v>
      </c>
      <c r="F17" s="22">
        <f>F16*60/F7</f>
        <v>4.1311475409836067</v>
      </c>
      <c r="G17" s="19" t="s">
        <v>353</v>
      </c>
    </row>
    <row r="19" spans="1:7" ht="48" customHeight="1" x14ac:dyDescent="0.3">
      <c r="A19" s="33" t="s">
        <v>354</v>
      </c>
      <c r="B19" s="34"/>
      <c r="C19" s="34"/>
      <c r="D19" s="34"/>
      <c r="E19" s="34"/>
      <c r="F19" s="34"/>
      <c r="G19" s="34"/>
    </row>
  </sheetData>
  <mergeCells count="2">
    <mergeCell ref="A3:G3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showGridLines="0" workbookViewId="0"/>
  </sheetViews>
  <sheetFormatPr defaultRowHeight="14.4" x14ac:dyDescent="0.3"/>
  <cols>
    <col min="1" max="1" width="7" customWidth="1"/>
    <col min="2" max="4" width="12" customWidth="1"/>
    <col min="5" max="5" width="11" customWidth="1"/>
    <col min="6" max="6" width="8" customWidth="1"/>
    <col min="7" max="7" width="12" customWidth="1"/>
    <col min="8" max="9" width="14" customWidth="1"/>
    <col min="10" max="10" width="9" customWidth="1"/>
  </cols>
  <sheetData>
    <row r="1" spans="1:10" ht="21" x14ac:dyDescent="0.4">
      <c r="A1" s="1" t="s">
        <v>355</v>
      </c>
    </row>
    <row r="2" spans="1:10" x14ac:dyDescent="0.3">
      <c r="A2" s="2" t="s">
        <v>356</v>
      </c>
    </row>
    <row r="3" spans="1:10" x14ac:dyDescent="0.3">
      <c r="A3" s="35" t="s">
        <v>357</v>
      </c>
      <c r="B3" s="34"/>
      <c r="C3" s="34"/>
      <c r="D3" s="34"/>
      <c r="E3" s="34"/>
      <c r="F3" s="34"/>
      <c r="G3" s="34"/>
      <c r="H3" s="34"/>
      <c r="I3" s="34"/>
    </row>
    <row r="5" spans="1:10" ht="26.4" x14ac:dyDescent="0.3">
      <c r="A5" s="3" t="s">
        <v>358</v>
      </c>
      <c r="B5" s="3" t="s">
        <v>359</v>
      </c>
      <c r="C5" s="3" t="s">
        <v>360</v>
      </c>
      <c r="D5" s="3" t="s">
        <v>328</v>
      </c>
      <c r="E5" s="3" t="s">
        <v>361</v>
      </c>
      <c r="F5" s="3" t="s">
        <v>362</v>
      </c>
      <c r="G5" s="3" t="s">
        <v>10</v>
      </c>
      <c r="H5" s="3" t="s">
        <v>363</v>
      </c>
      <c r="I5" s="3" t="s">
        <v>364</v>
      </c>
      <c r="J5" s="3" t="s">
        <v>365</v>
      </c>
    </row>
    <row r="6" spans="1:10" x14ac:dyDescent="0.3">
      <c r="A6" s="17">
        <v>1</v>
      </c>
      <c r="B6" s="24">
        <f>Metrics!$D$4+7*(A6-1)</f>
        <v>46204</v>
      </c>
      <c r="C6" s="24">
        <f>MIN(B6+6,Metrics!$F$4)</f>
        <v>46210</v>
      </c>
      <c r="D6" s="17">
        <f t="shared" ref="D6:D18" si="0">COUNTIFS(DeployDate,"&gt;="&amp;B6,DeployDate,"&lt;="&amp;C6)</f>
        <v>8</v>
      </c>
      <c r="E6" s="21">
        <f t="shared" ref="E6:E18" si="1">D6/(C6-B6+1)</f>
        <v>1.1428571428571428</v>
      </c>
      <c r="F6" s="17">
        <f t="shared" ref="F6:F18" si="2">COUNTIFS(DeployDate,"&gt;="&amp;B6,DeployDate,"&lt;="&amp;C6,ChangeFailed,TRUE)</f>
        <v>1</v>
      </c>
      <c r="G6" s="25">
        <f t="shared" ref="G6:G18" si="3">IF(D6=0,"",F6/D6)</f>
        <v>0.125</v>
      </c>
      <c r="H6" s="22">
        <f t="array" ref="H6">IFERROR(MEDIAN(IF((DeployDate&gt;=B6)*(DeployDate&lt;=C6),LeadTimeHours)),"")</f>
        <v>59.879999999999995</v>
      </c>
      <c r="I6" s="20">
        <f t="array" ref="I6">IF(F6=0,"",MEDIAN(IF((DeployDate&gt;=B6)*(DeployDate&lt;=C6)*(ChangeFailed=TRUE),RecoveryMinutes)))</f>
        <v>181</v>
      </c>
      <c r="J6" s="22">
        <f t="shared" ref="J6:J18" si="4">SUMIFS(ToilMinutes,DeployDate,"&gt;="&amp;B6,DeployDate,"&lt;="&amp;C6)/60</f>
        <v>6.3166666666666664</v>
      </c>
    </row>
    <row r="7" spans="1:10" x14ac:dyDescent="0.3">
      <c r="A7" s="17">
        <v>2</v>
      </c>
      <c r="B7" s="24">
        <f>Metrics!$D$4+7*(A7-1)</f>
        <v>46211</v>
      </c>
      <c r="C7" s="24">
        <f>MIN(B7+6,Metrics!$F$4)</f>
        <v>46217</v>
      </c>
      <c r="D7" s="17">
        <f t="shared" si="0"/>
        <v>3</v>
      </c>
      <c r="E7" s="21">
        <f t="shared" si="1"/>
        <v>0.42857142857142855</v>
      </c>
      <c r="F7" s="17">
        <f t="shared" si="2"/>
        <v>1</v>
      </c>
      <c r="G7" s="25">
        <f t="shared" si="3"/>
        <v>0.33333333333333331</v>
      </c>
      <c r="H7" s="22">
        <f t="array" ref="H7">IFERROR(MEDIAN(IF((DeployDate&gt;=B7)*(DeployDate&lt;=C7),LeadTimeHours)),"")</f>
        <v>50.57</v>
      </c>
      <c r="I7" s="20">
        <f t="array" ref="I7">IF(F7=0,"",MEDIAN(IF((DeployDate&gt;=B7)*(DeployDate&lt;=C7)*(ChangeFailed=TRUE),RecoveryMinutes)))</f>
        <v>153</v>
      </c>
      <c r="J7" s="22">
        <f t="shared" si="4"/>
        <v>2.65</v>
      </c>
    </row>
    <row r="8" spans="1:10" x14ac:dyDescent="0.3">
      <c r="A8" s="17">
        <v>3</v>
      </c>
      <c r="B8" s="24">
        <f>Metrics!$D$4+7*(A8-1)</f>
        <v>46218</v>
      </c>
      <c r="C8" s="24">
        <f>MIN(B8+6,Metrics!$F$4)</f>
        <v>46224</v>
      </c>
      <c r="D8" s="17">
        <f t="shared" si="0"/>
        <v>6</v>
      </c>
      <c r="E8" s="21">
        <f t="shared" si="1"/>
        <v>0.8571428571428571</v>
      </c>
      <c r="F8" s="17">
        <f t="shared" si="2"/>
        <v>2</v>
      </c>
      <c r="G8" s="25">
        <f t="shared" si="3"/>
        <v>0.33333333333333331</v>
      </c>
      <c r="H8" s="22">
        <f t="array" ref="H8">IFERROR(MEDIAN(IF((DeployDate&gt;=B8)*(DeployDate&lt;=C8),LeadTimeHours)),"")</f>
        <v>39.879999999999995</v>
      </c>
      <c r="I8" s="20">
        <f t="array" ref="I8">IF(F8=0,"",MEDIAN(IF((DeployDate&gt;=B8)*(DeployDate&lt;=C8)*(ChangeFailed=TRUE),RecoveryMinutes)))</f>
        <v>575</v>
      </c>
      <c r="J8" s="22">
        <f t="shared" si="4"/>
        <v>4.95</v>
      </c>
    </row>
    <row r="9" spans="1:10" x14ac:dyDescent="0.3">
      <c r="A9" s="17">
        <v>4</v>
      </c>
      <c r="B9" s="24">
        <f>Metrics!$D$4+7*(A9-1)</f>
        <v>46225</v>
      </c>
      <c r="C9" s="24">
        <f>MIN(B9+6,Metrics!$F$4)</f>
        <v>46231</v>
      </c>
      <c r="D9" s="17">
        <f t="shared" si="0"/>
        <v>8</v>
      </c>
      <c r="E9" s="21">
        <f t="shared" si="1"/>
        <v>1.1428571428571428</v>
      </c>
      <c r="F9" s="17">
        <f t="shared" si="2"/>
        <v>1</v>
      </c>
      <c r="G9" s="25">
        <f t="shared" si="3"/>
        <v>0.125</v>
      </c>
      <c r="H9" s="22">
        <f t="array" ref="H9">IFERROR(MEDIAN(IF((DeployDate&gt;=B9)*(DeployDate&lt;=C9),LeadTimeHours)),"")</f>
        <v>33.414999999999999</v>
      </c>
      <c r="I9" s="20">
        <f t="array" ref="I9">IF(F9=0,"",MEDIAN(IF((DeployDate&gt;=B9)*(DeployDate&lt;=C9)*(ChangeFailed=TRUE),RecoveryMinutes)))</f>
        <v>92</v>
      </c>
      <c r="J9" s="22">
        <f t="shared" si="4"/>
        <v>7.1333333333333337</v>
      </c>
    </row>
    <row r="10" spans="1:10" x14ac:dyDescent="0.3">
      <c r="A10" s="17">
        <v>5</v>
      </c>
      <c r="B10" s="24">
        <f>Metrics!$D$4+7*(A10-1)</f>
        <v>46232</v>
      </c>
      <c r="C10" s="24">
        <f>MIN(B10+6,Metrics!$F$4)</f>
        <v>46238</v>
      </c>
      <c r="D10" s="17">
        <f t="shared" si="0"/>
        <v>11</v>
      </c>
      <c r="E10" s="21">
        <f t="shared" si="1"/>
        <v>1.5714285714285714</v>
      </c>
      <c r="F10" s="17">
        <f t="shared" si="2"/>
        <v>3</v>
      </c>
      <c r="G10" s="25">
        <f t="shared" si="3"/>
        <v>0.27272727272727271</v>
      </c>
      <c r="H10" s="22">
        <f t="array" ref="H10">IFERROR(MEDIAN(IF((DeployDate&gt;=B10)*(DeployDate&lt;=C10),LeadTimeHours)),"")</f>
        <v>32.409999999999997</v>
      </c>
      <c r="I10" s="20">
        <f t="array" ref="I10">IF(F10=0,"",MEDIAN(IF((DeployDate&gt;=B10)*(DeployDate&lt;=C10)*(ChangeFailed=TRUE),RecoveryMinutes)))</f>
        <v>224</v>
      </c>
      <c r="J10" s="22">
        <f t="shared" si="4"/>
        <v>5.4</v>
      </c>
    </row>
    <row r="11" spans="1:10" x14ac:dyDescent="0.3">
      <c r="A11" s="17">
        <v>6</v>
      </c>
      <c r="B11" s="24">
        <f>Metrics!$D$4+7*(A11-1)</f>
        <v>46239</v>
      </c>
      <c r="C11" s="24">
        <f>MIN(B11+6,Metrics!$F$4)</f>
        <v>46245</v>
      </c>
      <c r="D11" s="17">
        <f t="shared" si="0"/>
        <v>7</v>
      </c>
      <c r="E11" s="21">
        <f t="shared" si="1"/>
        <v>1</v>
      </c>
      <c r="F11" s="17">
        <f t="shared" si="2"/>
        <v>0</v>
      </c>
      <c r="G11" s="25">
        <f t="shared" si="3"/>
        <v>0</v>
      </c>
      <c r="H11" s="22">
        <f t="array" ref="H11">IFERROR(MEDIAN(IF((DeployDate&gt;=B11)*(DeployDate&lt;=C11),LeadTimeHours)),"")</f>
        <v>17.12</v>
      </c>
      <c r="I11" s="20" t="str">
        <f t="array" ref="I11">IF(F11=0,"",MEDIAN(IF((DeployDate&gt;=B11)*(DeployDate&lt;=C11)*(ChangeFailed=TRUE),RecoveryMinutes)))</f>
        <v/>
      </c>
      <c r="J11" s="22">
        <f t="shared" si="4"/>
        <v>2.5333333333333332</v>
      </c>
    </row>
    <row r="12" spans="1:10" x14ac:dyDescent="0.3">
      <c r="A12" s="17">
        <v>7</v>
      </c>
      <c r="B12" s="24">
        <f>Metrics!$D$4+7*(A12-1)</f>
        <v>46246</v>
      </c>
      <c r="C12" s="24">
        <f>MIN(B12+6,Metrics!$F$4)</f>
        <v>46252</v>
      </c>
      <c r="D12" s="17">
        <f t="shared" si="0"/>
        <v>8</v>
      </c>
      <c r="E12" s="21">
        <f t="shared" si="1"/>
        <v>1.1428571428571428</v>
      </c>
      <c r="F12" s="17">
        <f t="shared" si="2"/>
        <v>0</v>
      </c>
      <c r="G12" s="25">
        <f t="shared" si="3"/>
        <v>0</v>
      </c>
      <c r="H12" s="22">
        <f t="array" ref="H12">IFERROR(MEDIAN(IF((DeployDate&gt;=B12)*(DeployDate&lt;=C12),LeadTimeHours)),"")</f>
        <v>17.36</v>
      </c>
      <c r="I12" s="20" t="str">
        <f t="array" ref="I12">IF(F12=0,"",MEDIAN(IF((DeployDate&gt;=B12)*(DeployDate&lt;=C12)*(ChangeFailed=TRUE),RecoveryMinutes)))</f>
        <v/>
      </c>
      <c r="J12" s="22">
        <f t="shared" si="4"/>
        <v>3.1666666666666665</v>
      </c>
    </row>
    <row r="13" spans="1:10" x14ac:dyDescent="0.3">
      <c r="A13" s="17">
        <v>8</v>
      </c>
      <c r="B13" s="24">
        <f>Metrics!$D$4+7*(A13-1)</f>
        <v>46253</v>
      </c>
      <c r="C13" s="24">
        <f>MIN(B13+6,Metrics!$F$4)</f>
        <v>46259</v>
      </c>
      <c r="D13" s="17">
        <f t="shared" si="0"/>
        <v>5</v>
      </c>
      <c r="E13" s="21">
        <f t="shared" si="1"/>
        <v>0.7142857142857143</v>
      </c>
      <c r="F13" s="17">
        <f t="shared" si="2"/>
        <v>1</v>
      </c>
      <c r="G13" s="25">
        <f t="shared" si="3"/>
        <v>0.2</v>
      </c>
      <c r="H13" s="22">
        <f t="array" ref="H13">IFERROR(MEDIAN(IF((DeployDate&gt;=B13)*(DeployDate&lt;=C13),LeadTimeHours)),"")</f>
        <v>22.35</v>
      </c>
      <c r="I13" s="20">
        <f t="array" ref="I13">IF(F13=0,"",MEDIAN(IF((DeployDate&gt;=B13)*(DeployDate&lt;=C13)*(ChangeFailed=TRUE),RecoveryMinutes)))</f>
        <v>58</v>
      </c>
      <c r="J13" s="22">
        <f t="shared" si="4"/>
        <v>2.0166666666666666</v>
      </c>
    </row>
    <row r="14" spans="1:10" x14ac:dyDescent="0.3">
      <c r="A14" s="17">
        <v>9</v>
      </c>
      <c r="B14" s="24">
        <f>Metrics!$D$4+7*(A14-1)</f>
        <v>46260</v>
      </c>
      <c r="C14" s="24">
        <f>MIN(B14+6,Metrics!$F$4)</f>
        <v>46266</v>
      </c>
      <c r="D14" s="17">
        <f t="shared" si="0"/>
        <v>14</v>
      </c>
      <c r="E14" s="21">
        <f t="shared" si="1"/>
        <v>2</v>
      </c>
      <c r="F14" s="17">
        <f t="shared" si="2"/>
        <v>0</v>
      </c>
      <c r="G14" s="25">
        <f t="shared" si="3"/>
        <v>0</v>
      </c>
      <c r="H14" s="22">
        <f t="array" ref="H14">IFERROR(MEDIAN(IF((DeployDate&gt;=B14)*(DeployDate&lt;=C14),LeadTimeHours)),"")</f>
        <v>10.914999999999999</v>
      </c>
      <c r="I14" s="20" t="str">
        <f t="array" ref="I14">IF(F14=0,"",MEDIAN(IF((DeployDate&gt;=B14)*(DeployDate&lt;=C14)*(ChangeFailed=TRUE),RecoveryMinutes)))</f>
        <v/>
      </c>
      <c r="J14" s="22">
        <f t="shared" si="4"/>
        <v>2.8666666666666667</v>
      </c>
    </row>
    <row r="15" spans="1:10" x14ac:dyDescent="0.3">
      <c r="A15" s="17">
        <v>10</v>
      </c>
      <c r="B15" s="24">
        <f>Metrics!$D$4+7*(A15-1)</f>
        <v>46267</v>
      </c>
      <c r="C15" s="24">
        <f>MIN(B15+6,Metrics!$F$4)</f>
        <v>46273</v>
      </c>
      <c r="D15" s="17">
        <f t="shared" si="0"/>
        <v>16</v>
      </c>
      <c r="E15" s="21">
        <f t="shared" si="1"/>
        <v>2.2857142857142856</v>
      </c>
      <c r="F15" s="17">
        <f t="shared" si="2"/>
        <v>0</v>
      </c>
      <c r="G15" s="25">
        <f t="shared" si="3"/>
        <v>0</v>
      </c>
      <c r="H15" s="22">
        <f t="array" ref="H15">IFERROR(MEDIAN(IF((DeployDate&gt;=B15)*(DeployDate&lt;=C15),LeadTimeHours)),"")</f>
        <v>7.2050000000000001</v>
      </c>
      <c r="I15" s="20" t="str">
        <f t="array" ref="I15">IF(F15=0,"",MEDIAN(IF((DeployDate&gt;=B15)*(DeployDate&lt;=C15)*(ChangeFailed=TRUE),RecoveryMinutes)))</f>
        <v/>
      </c>
      <c r="J15" s="22">
        <f t="shared" si="4"/>
        <v>1.1833333333333333</v>
      </c>
    </row>
    <row r="16" spans="1:10" x14ac:dyDescent="0.3">
      <c r="A16" s="17">
        <v>11</v>
      </c>
      <c r="B16" s="24">
        <f>Metrics!$D$4+7*(A16-1)</f>
        <v>46274</v>
      </c>
      <c r="C16" s="24">
        <f>MIN(B16+6,Metrics!$F$4)</f>
        <v>46280</v>
      </c>
      <c r="D16" s="17">
        <f t="shared" si="0"/>
        <v>14</v>
      </c>
      <c r="E16" s="21">
        <f t="shared" si="1"/>
        <v>2</v>
      </c>
      <c r="F16" s="17">
        <f t="shared" si="2"/>
        <v>3</v>
      </c>
      <c r="G16" s="25">
        <f t="shared" si="3"/>
        <v>0.21428571428571427</v>
      </c>
      <c r="H16" s="22">
        <f t="array" ref="H16">IFERROR(MEDIAN(IF((DeployDate&gt;=B16)*(DeployDate&lt;=C16),LeadTimeHours)),"")</f>
        <v>9.3999999999999986</v>
      </c>
      <c r="I16" s="20">
        <f t="array" ref="I16">IF(F16=0,"",MEDIAN(IF((DeployDate&gt;=B16)*(DeployDate&lt;=C16)*(ChangeFailed=TRUE),RecoveryMinutes)))</f>
        <v>60</v>
      </c>
      <c r="J16" s="22">
        <f t="shared" si="4"/>
        <v>0.8833333333333333</v>
      </c>
    </row>
    <row r="17" spans="1:10" x14ac:dyDescent="0.3">
      <c r="A17" s="17">
        <v>12</v>
      </c>
      <c r="B17" s="24">
        <f>Metrics!$D$4+7*(A17-1)</f>
        <v>46281</v>
      </c>
      <c r="C17" s="24">
        <f>MIN(B17+6,Metrics!$F$4)</f>
        <v>46287</v>
      </c>
      <c r="D17" s="17">
        <f t="shared" si="0"/>
        <v>17</v>
      </c>
      <c r="E17" s="21">
        <f t="shared" si="1"/>
        <v>2.4285714285714284</v>
      </c>
      <c r="F17" s="17">
        <f t="shared" si="2"/>
        <v>1</v>
      </c>
      <c r="G17" s="25">
        <f t="shared" si="3"/>
        <v>5.8823529411764705E-2</v>
      </c>
      <c r="H17" s="22">
        <f t="array" ref="H17">IFERROR(MEDIAN(IF((DeployDate&gt;=B17)*(DeployDate&lt;=C17),LeadTimeHours)),"")</f>
        <v>6.37</v>
      </c>
      <c r="I17" s="20">
        <f t="array" ref="I17">IF(F17=0,"",MEDIAN(IF((DeployDate&gt;=B17)*(DeployDate&lt;=C17)*(ChangeFailed=TRUE),RecoveryMinutes)))</f>
        <v>23</v>
      </c>
      <c r="J17" s="22">
        <f t="shared" si="4"/>
        <v>1.1666666666666667</v>
      </c>
    </row>
    <row r="18" spans="1:10" x14ac:dyDescent="0.3">
      <c r="A18" s="17">
        <v>13</v>
      </c>
      <c r="B18" s="24">
        <f>Metrics!$D$4+7*(A18-1)</f>
        <v>46288</v>
      </c>
      <c r="C18" s="24">
        <f>MIN(B18+6,Metrics!$F$4)</f>
        <v>46293</v>
      </c>
      <c r="D18" s="17">
        <f t="shared" si="0"/>
        <v>7</v>
      </c>
      <c r="E18" s="21">
        <f t="shared" si="1"/>
        <v>1.1666666666666667</v>
      </c>
      <c r="F18" s="17">
        <f t="shared" si="2"/>
        <v>1</v>
      </c>
      <c r="G18" s="25">
        <f t="shared" si="3"/>
        <v>0.14285714285714285</v>
      </c>
      <c r="H18" s="22">
        <f t="array" ref="H18">IFERROR(MEDIAN(IF((DeployDate&gt;=B18)*(DeployDate&lt;=C18),LeadTimeHours)),"")</f>
        <v>9.2899999999999991</v>
      </c>
      <c r="I18" s="20">
        <f t="array" ref="I18">IF(F18=0,"",MEDIAN(IF((DeployDate&gt;=B18)*(DeployDate&lt;=C18)*(ChangeFailed=TRUE),RecoveryMinutes)))</f>
        <v>26</v>
      </c>
      <c r="J18" s="22">
        <f t="shared" si="4"/>
        <v>0.51666666666666672</v>
      </c>
    </row>
  </sheetData>
  <mergeCells count="1">
    <mergeCell ref="A3:I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showGridLines="0" workbookViewId="0"/>
  </sheetViews>
  <sheetFormatPr defaultRowHeight="14.4" x14ac:dyDescent="0.3"/>
  <cols>
    <col min="1" max="1" width="36" customWidth="1"/>
    <col min="2" max="3" width="30" customWidth="1"/>
    <col min="4" max="4" width="26" customWidth="1"/>
    <col min="5" max="5" width="30" customWidth="1"/>
    <col min="6" max="6" width="14" customWidth="1"/>
  </cols>
  <sheetData>
    <row r="1" spans="1:6" ht="21" x14ac:dyDescent="0.4">
      <c r="A1" s="1" t="s">
        <v>366</v>
      </c>
    </row>
    <row r="2" spans="1:6" x14ac:dyDescent="0.3">
      <c r="A2" s="2" t="s">
        <v>367</v>
      </c>
    </row>
    <row r="4" spans="1:6" x14ac:dyDescent="0.3">
      <c r="A4" s="3" t="s">
        <v>368</v>
      </c>
      <c r="B4" s="3" t="s">
        <v>331</v>
      </c>
      <c r="C4" s="3" t="s">
        <v>369</v>
      </c>
      <c r="D4" s="3" t="s">
        <v>10</v>
      </c>
      <c r="E4" s="3" t="s">
        <v>370</v>
      </c>
    </row>
    <row r="5" spans="1:6" ht="30" customHeight="1" x14ac:dyDescent="0.3">
      <c r="A5" s="26" t="s">
        <v>371</v>
      </c>
      <c r="B5" s="26" t="s">
        <v>372</v>
      </c>
      <c r="C5" s="26" t="s">
        <v>373</v>
      </c>
      <c r="D5" s="27">
        <v>0.05</v>
      </c>
      <c r="E5" s="26" t="s">
        <v>374</v>
      </c>
    </row>
    <row r="6" spans="1:6" ht="30" customHeight="1" x14ac:dyDescent="0.3">
      <c r="A6" s="26" t="s">
        <v>375</v>
      </c>
      <c r="B6" s="26" t="s">
        <v>376</v>
      </c>
      <c r="C6" s="26" t="s">
        <v>377</v>
      </c>
      <c r="D6" s="27">
        <v>0.2</v>
      </c>
      <c r="E6" s="26" t="s">
        <v>373</v>
      </c>
    </row>
    <row r="7" spans="1:6" ht="30" customHeight="1" x14ac:dyDescent="0.3">
      <c r="A7" s="26" t="s">
        <v>378</v>
      </c>
      <c r="B7" s="26" t="s">
        <v>379</v>
      </c>
      <c r="C7" s="26" t="s">
        <v>380</v>
      </c>
      <c r="D7" s="27">
        <v>0.1</v>
      </c>
      <c r="E7" s="26" t="s">
        <v>373</v>
      </c>
    </row>
    <row r="8" spans="1:6" ht="30" customHeight="1" x14ac:dyDescent="0.3">
      <c r="A8" s="26" t="s">
        <v>381</v>
      </c>
      <c r="B8" s="26" t="s">
        <v>382</v>
      </c>
      <c r="C8" s="26" t="s">
        <v>383</v>
      </c>
      <c r="D8" s="27">
        <v>0.4</v>
      </c>
      <c r="E8" s="26" t="s">
        <v>380</v>
      </c>
    </row>
    <row r="9" spans="1:6" ht="61.95" customHeight="1" x14ac:dyDescent="0.3">
      <c r="A9" s="33" t="s">
        <v>384</v>
      </c>
      <c r="B9" s="34"/>
      <c r="C9" s="34"/>
      <c r="D9" s="34"/>
      <c r="E9" s="34"/>
    </row>
    <row r="11" spans="1:6" ht="15.6" x14ac:dyDescent="0.3">
      <c r="A11" s="10" t="s">
        <v>385</v>
      </c>
    </row>
    <row r="12" spans="1:6" x14ac:dyDescent="0.3">
      <c r="A12" s="3" t="s">
        <v>322</v>
      </c>
      <c r="B12" s="3" t="s">
        <v>386</v>
      </c>
      <c r="C12" s="3" t="s">
        <v>387</v>
      </c>
      <c r="D12" s="3" t="s">
        <v>388</v>
      </c>
      <c r="E12" s="3" t="s">
        <v>389</v>
      </c>
    </row>
    <row r="13" spans="1:6" x14ac:dyDescent="0.3">
      <c r="A13" s="4" t="s">
        <v>8</v>
      </c>
      <c r="B13" s="28">
        <v>1</v>
      </c>
      <c r="C13" s="28">
        <v>0.14285714285714279</v>
      </c>
      <c r="D13" s="28">
        <v>3.3333333333333333E-2</v>
      </c>
      <c r="E13" s="29" t="s">
        <v>390</v>
      </c>
      <c r="F13" t="s">
        <v>391</v>
      </c>
    </row>
    <row r="14" spans="1:6" x14ac:dyDescent="0.3">
      <c r="A14" s="4" t="s">
        <v>392</v>
      </c>
      <c r="B14" s="29">
        <v>24</v>
      </c>
      <c r="C14" s="29">
        <v>168</v>
      </c>
      <c r="D14" s="29">
        <v>720</v>
      </c>
      <c r="E14" s="29" t="s">
        <v>393</v>
      </c>
      <c r="F14" t="s">
        <v>394</v>
      </c>
    </row>
    <row r="15" spans="1:6" x14ac:dyDescent="0.3">
      <c r="A15" s="4" t="s">
        <v>10</v>
      </c>
      <c r="B15" s="30">
        <v>0.05</v>
      </c>
      <c r="C15" s="30">
        <v>0.2</v>
      </c>
      <c r="D15" s="30">
        <v>0.1</v>
      </c>
      <c r="E15" s="29" t="s">
        <v>395</v>
      </c>
      <c r="F15" t="s">
        <v>396</v>
      </c>
    </row>
    <row r="16" spans="1:6" x14ac:dyDescent="0.3">
      <c r="A16" s="4" t="s">
        <v>397</v>
      </c>
      <c r="B16" s="29">
        <v>60</v>
      </c>
      <c r="C16" s="29">
        <v>1440</v>
      </c>
      <c r="D16" s="29">
        <v>1440</v>
      </c>
      <c r="E16" s="29" t="s">
        <v>398</v>
      </c>
      <c r="F16" t="s">
        <v>394</v>
      </c>
    </row>
    <row r="18" spans="1:5" ht="15.6" x14ac:dyDescent="0.3">
      <c r="A18" s="10" t="s">
        <v>399</v>
      </c>
    </row>
    <row r="19" spans="1:5" x14ac:dyDescent="0.3">
      <c r="A19" s="3" t="s">
        <v>322</v>
      </c>
      <c r="B19" s="3" t="s">
        <v>4</v>
      </c>
      <c r="C19" s="3" t="s">
        <v>40</v>
      </c>
      <c r="D19" s="3" t="s">
        <v>114</v>
      </c>
      <c r="E19" s="3" t="s">
        <v>187</v>
      </c>
    </row>
    <row r="20" spans="1:5" x14ac:dyDescent="0.3">
      <c r="A20" s="17" t="s">
        <v>8</v>
      </c>
      <c r="B20" s="5">
        <f>Metrics!C8</f>
        <v>1.3777777777777778</v>
      </c>
      <c r="C20" s="5">
        <f>Metrics!D8</f>
        <v>0.96666666666666667</v>
      </c>
      <c r="D20" s="5">
        <f>Metrics!E8</f>
        <v>1.1333333333333333</v>
      </c>
      <c r="E20" s="5">
        <f>Metrics!F8</f>
        <v>2.0333333333333332</v>
      </c>
    </row>
    <row r="21" spans="1:5" x14ac:dyDescent="0.3">
      <c r="A21" s="17" t="s">
        <v>400</v>
      </c>
      <c r="B21" s="17" t="str">
        <f>IF(B20&gt;=$B$13,"Elite",IF(B20&gt;=$C$13,"High",IF(B20&gt;=$D$13,"Medium","Low")))</f>
        <v>Elite</v>
      </c>
      <c r="C21" s="17" t="str">
        <f>IF(C20&gt;=$B$13,"Elite",IF(C20&gt;=$C$13,"High",IF(C20&gt;=$D$13,"Medium","Low")))</f>
        <v>High</v>
      </c>
      <c r="D21" s="17" t="str">
        <f>IF(D20&gt;=$B$13,"Elite",IF(D20&gt;=$C$13,"High",IF(D20&gt;=$D$13,"Medium","Low")))</f>
        <v>Elite</v>
      </c>
      <c r="E21" s="17" t="str">
        <f>IF(E20&gt;=$B$13,"Elite",IF(E20&gt;=$C$13,"High",IF(E20&gt;=$D$13,"Medium","Low")))</f>
        <v>Elite</v>
      </c>
    </row>
    <row r="22" spans="1:5" x14ac:dyDescent="0.3">
      <c r="A22" s="17" t="s">
        <v>392</v>
      </c>
      <c r="B22" s="7">
        <f>Metrics!C10</f>
        <v>12.86</v>
      </c>
      <c r="C22" s="7">
        <f>Metrics!D10</f>
        <v>43.79</v>
      </c>
      <c r="D22" s="7">
        <f>Metrics!E10</f>
        <v>22.204999999999998</v>
      </c>
      <c r="E22" s="7">
        <f>Metrics!F10</f>
        <v>7.51</v>
      </c>
    </row>
    <row r="23" spans="1:5" x14ac:dyDescent="0.3">
      <c r="A23" s="17" t="s">
        <v>400</v>
      </c>
      <c r="B23" s="17" t="str">
        <f>IF(B22&lt;$B$14,"Elite",IF(B22&lt;$C$14,"High",IF(B22&lt;$D$14,"Medium","Low")))</f>
        <v>Elite</v>
      </c>
      <c r="C23" s="17" t="str">
        <f>IF(C22&lt;$B$14,"Elite",IF(C22&lt;$C$14,"High",IF(C22&lt;$D$14,"Medium","Low")))</f>
        <v>High</v>
      </c>
      <c r="D23" s="17" t="str">
        <f>IF(D22&lt;$B$14,"Elite",IF(D22&lt;$C$14,"High",IF(D22&lt;$D$14,"Medium","Low")))</f>
        <v>Elite</v>
      </c>
      <c r="E23" s="17" t="str">
        <f>IF(E22&lt;$B$14,"Elite",IF(E22&lt;$C$14,"High",IF(E22&lt;$D$14,"Medium","Low")))</f>
        <v>Elite</v>
      </c>
    </row>
    <row r="24" spans="1:5" x14ac:dyDescent="0.3">
      <c r="A24" s="17" t="s">
        <v>10</v>
      </c>
      <c r="B24" s="8">
        <f>Metrics!C13</f>
        <v>0.11290322580645161</v>
      </c>
      <c r="C24" s="8">
        <f>Metrics!D13</f>
        <v>0.2413793103448276</v>
      </c>
      <c r="D24" s="8">
        <f>Metrics!E13</f>
        <v>5.8823529411764705E-2</v>
      </c>
      <c r="E24" s="8">
        <f>Metrics!F13</f>
        <v>8.1967213114754092E-2</v>
      </c>
    </row>
    <row r="25" spans="1:5" x14ac:dyDescent="0.3">
      <c r="A25" s="17" t="s">
        <v>400</v>
      </c>
      <c r="B25" s="17" t="str">
        <f>IF(B24&lt;=$B$15,"Elite (&lt;=5%)",IF(B24&lt;=$D$15,"Medium value (&lt;=10%)",IF(B24&lt;=$C$15,"High value (&lt;=20%)",IF(B24&lt;=0.4,"Low value (&lt;=40%)","Worse than Low"))))</f>
        <v>High value (&lt;=20%)</v>
      </c>
      <c r="C25" s="17" t="str">
        <f>IF(C24&lt;=$B$15,"Elite (&lt;=5%)",IF(C24&lt;=$D$15,"Medium value (&lt;=10%)",IF(C24&lt;=$C$15,"High value (&lt;=20%)",IF(C24&lt;=0.4,"Low value (&lt;=40%)","Worse than Low"))))</f>
        <v>Low value (&lt;=40%)</v>
      </c>
      <c r="D25" s="17" t="str">
        <f>IF(D24&lt;=$B$15,"Elite (&lt;=5%)",IF(D24&lt;=$D$15,"Medium value (&lt;=10%)",IF(D24&lt;=$C$15,"High value (&lt;=20%)",IF(D24&lt;=0.4,"Low value (&lt;=40%)","Worse than Low"))))</f>
        <v>Medium value (&lt;=10%)</v>
      </c>
      <c r="E25" s="17" t="str">
        <f>IF(E24&lt;=$B$15,"Elite (&lt;=5%)",IF(E24&lt;=$D$15,"Medium value (&lt;=10%)",IF(E24&lt;=$C$15,"High value (&lt;=20%)",IF(E24&lt;=0.4,"Low value (&lt;=40%)","Worse than Low"))))</f>
        <v>Medium value (&lt;=10%)</v>
      </c>
    </row>
    <row r="26" spans="1:5" x14ac:dyDescent="0.3">
      <c r="A26" s="17" t="s">
        <v>397</v>
      </c>
      <c r="B26" s="9">
        <f>Metrics!C14</f>
        <v>79</v>
      </c>
      <c r="C26" s="9">
        <f>Metrics!D14</f>
        <v>224</v>
      </c>
      <c r="D26" s="9">
        <f>Metrics!E14</f>
        <v>56.5</v>
      </c>
      <c r="E26" s="9">
        <f>Metrics!F14</f>
        <v>36</v>
      </c>
    </row>
    <row r="27" spans="1:5" x14ac:dyDescent="0.3">
      <c r="A27" s="17" t="s">
        <v>400</v>
      </c>
      <c r="B27" s="17" t="str">
        <f>IF(B26&lt;$B$16,"Elite",IF(B26&lt;$C$16,"High / Medium (&lt; 1 day)",IF(B26&lt;=43200,"Low","Worse than Low")))</f>
        <v>High / Medium (&lt; 1 day)</v>
      </c>
      <c r="C27" s="17" t="str">
        <f>IF(C26&lt;$B$16,"Elite",IF(C26&lt;$C$16,"High / Medium (&lt; 1 day)",IF(C26&lt;=43200,"Low","Worse than Low")))</f>
        <v>High / Medium (&lt; 1 day)</v>
      </c>
      <c r="D27" s="17" t="str">
        <f>IF(D26&lt;$B$16,"Elite",IF(D26&lt;$C$16,"High / Medium (&lt; 1 day)",IF(D26&lt;=43200,"Low","Worse than Low")))</f>
        <v>Elite</v>
      </c>
      <c r="E27" s="17" t="str">
        <f>IF(E26&lt;$B$16,"Elite",IF(E26&lt;$C$16,"High / Medium (&lt; 1 day)",IF(E26&lt;=43200,"Low","Worse than Low")))</f>
        <v>Elite</v>
      </c>
    </row>
    <row r="29" spans="1:5" ht="55.05" customHeight="1" x14ac:dyDescent="0.3">
      <c r="A29" s="33" t="s">
        <v>401</v>
      </c>
      <c r="B29" s="34"/>
      <c r="C29" s="34"/>
      <c r="D29" s="34"/>
      <c r="E29" s="34"/>
    </row>
  </sheetData>
  <mergeCells count="2">
    <mergeCell ref="A29:E29"/>
    <mergeCell ref="A9:E9"/>
  </mergeCells>
  <conditionalFormatting sqref="B21:E27">
    <cfRule type="expression" dxfId="7" priority="1">
      <formula>LEFT(B21,5)="Elite"</formula>
    </cfRule>
    <cfRule type="expression" dxfId="6" priority="2">
      <formula>OR(LEFT(B21,4)="High",LEFT(B21,6)="Medium")</formula>
    </cfRule>
    <cfRule type="expression" dxfId="5" priority="3">
      <formula>OR(LEFT(B21,3)="Low",LEFT(B21,5)="Worse")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showGridLines="0" workbookViewId="0"/>
  </sheetViews>
  <sheetFormatPr defaultRowHeight="14.4" x14ac:dyDescent="0.3"/>
  <cols>
    <col min="1" max="1" width="30" customWidth="1"/>
    <col min="2" max="2" width="12" customWidth="1"/>
    <col min="3" max="4" width="20" customWidth="1"/>
  </cols>
  <sheetData>
    <row r="1" spans="1:4" ht="21" x14ac:dyDescent="0.4">
      <c r="A1" s="1" t="s">
        <v>402</v>
      </c>
    </row>
    <row r="2" spans="1:4" x14ac:dyDescent="0.3">
      <c r="A2" s="2" t="s">
        <v>403</v>
      </c>
    </row>
    <row r="4" spans="1:4" ht="26.4" x14ac:dyDescent="0.3">
      <c r="A4" s="3" t="s">
        <v>404</v>
      </c>
      <c r="B4" s="3" t="s">
        <v>405</v>
      </c>
      <c r="C4" s="3" t="s">
        <v>406</v>
      </c>
      <c r="D4" s="3" t="s">
        <v>364</v>
      </c>
    </row>
    <row r="5" spans="1:4" x14ac:dyDescent="0.3">
      <c r="A5" s="17" t="s">
        <v>89</v>
      </c>
      <c r="B5" s="17">
        <f>COUNTIF(FailureCategory,A5)</f>
        <v>3</v>
      </c>
      <c r="C5" s="25">
        <f>B5/Metrics!$C$12</f>
        <v>0.21428571428571427</v>
      </c>
      <c r="D5" s="20">
        <f t="array" ref="D5">MEDIAN(IF(FailureCategory=A5,RecoveryMinutes))</f>
        <v>92</v>
      </c>
    </row>
    <row r="6" spans="1:4" x14ac:dyDescent="0.3">
      <c r="A6" s="17" t="s">
        <v>49</v>
      </c>
      <c r="B6" s="17">
        <f>COUNTIF(FailureCategory,A6)</f>
        <v>5</v>
      </c>
      <c r="C6" s="25">
        <f>B6/Metrics!$C$12</f>
        <v>0.35714285714285715</v>
      </c>
      <c r="D6" s="20">
        <f t="array" ref="D6">MEDIAN(IF(FailureCategory=A6,RecoveryMinutes))</f>
        <v>181</v>
      </c>
    </row>
    <row r="7" spans="1:4" x14ac:dyDescent="0.3">
      <c r="A7" s="17" t="s">
        <v>68</v>
      </c>
      <c r="B7" s="17">
        <f>COUNTIF(FailureCategory,A7)</f>
        <v>5</v>
      </c>
      <c r="C7" s="25">
        <f>B7/Metrics!$C$12</f>
        <v>0.35714285714285715</v>
      </c>
      <c r="D7" s="20">
        <f t="array" ref="D7">MEDIAN(IF(FailureCategory=A7,RecoveryMinutes))</f>
        <v>60</v>
      </c>
    </row>
    <row r="8" spans="1:4" x14ac:dyDescent="0.3">
      <c r="A8" s="17" t="s">
        <v>236</v>
      </c>
      <c r="B8" s="17">
        <f>COUNTIF(FailureCategory,A8)</f>
        <v>1</v>
      </c>
      <c r="C8" s="25">
        <f>B8/Metrics!$C$12</f>
        <v>7.1428571428571425E-2</v>
      </c>
      <c r="D8" s="20">
        <f t="array" ref="D8">MEDIAN(IF(FailureCategory=A8,RecoveryMinutes))</f>
        <v>36</v>
      </c>
    </row>
    <row r="11" spans="1:4" ht="26.4" x14ac:dyDescent="0.3">
      <c r="A11" s="3" t="s">
        <v>407</v>
      </c>
      <c r="B11" s="3" t="s">
        <v>408</v>
      </c>
      <c r="C11" s="3" t="s">
        <v>364</v>
      </c>
      <c r="D11" s="3" t="s">
        <v>409</v>
      </c>
    </row>
    <row r="12" spans="1:4" x14ac:dyDescent="0.3">
      <c r="A12" s="17" t="s">
        <v>238</v>
      </c>
      <c r="B12" s="17">
        <f>COUNTIF(Remediation,A12)</f>
        <v>4</v>
      </c>
      <c r="C12" s="20">
        <f t="array" ref="C12">MEDIAN(IF(Remediation=A12,RecoveryMinutes))</f>
        <v>31</v>
      </c>
      <c r="D12" s="20">
        <f>AVERAGEIFS(RecoveryMinutes,Remediation,A12)</f>
        <v>37.75</v>
      </c>
    </row>
    <row r="13" spans="1:4" x14ac:dyDescent="0.3">
      <c r="A13" s="17" t="s">
        <v>51</v>
      </c>
      <c r="B13" s="17">
        <f>COUNTIF(Remediation,A13)</f>
        <v>3</v>
      </c>
      <c r="C13" s="20">
        <f t="array" ref="C13">MEDIAN(IF(Remediation=A13,RecoveryMinutes))</f>
        <v>181</v>
      </c>
      <c r="D13" s="20">
        <f>AVERAGEIFS(RecoveryMinutes,Remediation,A13)</f>
        <v>252.66666666666666</v>
      </c>
    </row>
    <row r="14" spans="1:4" x14ac:dyDescent="0.3">
      <c r="A14" s="17" t="s">
        <v>70</v>
      </c>
      <c r="B14" s="17">
        <f>COUNTIF(Remediation,A14)</f>
        <v>5</v>
      </c>
      <c r="C14" s="20">
        <f t="array" ref="C14">MEDIAN(IF(Remediation=A14,RecoveryMinutes))</f>
        <v>224</v>
      </c>
      <c r="D14" s="20">
        <f>AVERAGEIFS(RecoveryMinutes,Remediation,A14)</f>
        <v>311.2</v>
      </c>
    </row>
    <row r="15" spans="1:4" x14ac:dyDescent="0.3">
      <c r="A15" s="17" t="s">
        <v>171</v>
      </c>
      <c r="B15" s="17">
        <f>COUNTIF(Remediation,A15)</f>
        <v>2</v>
      </c>
      <c r="C15" s="20">
        <f t="array" ref="C15">MEDIAN(IF(Remediation=A15,RecoveryMinutes))</f>
        <v>59</v>
      </c>
      <c r="D15" s="20">
        <f>AVERAGEIFS(RecoveryMinutes,Remediation,A15)</f>
        <v>59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"/>
  <sheetViews>
    <sheetView showGridLines="0" workbookViewId="0"/>
  </sheetViews>
  <sheetFormatPr defaultRowHeight="14.4" x14ac:dyDescent="0.3"/>
  <cols>
    <col min="1" max="1" width="46" customWidth="1"/>
    <col min="2" max="2" width="52" customWidth="1"/>
    <col min="3" max="3" width="10" customWidth="1"/>
    <col min="4" max="4" width="46" customWidth="1"/>
    <col min="5" max="5" width="70" customWidth="1"/>
  </cols>
  <sheetData>
    <row r="1" spans="1:4" ht="21" x14ac:dyDescent="0.4">
      <c r="A1" s="1" t="s">
        <v>410</v>
      </c>
    </row>
    <row r="2" spans="1:4" x14ac:dyDescent="0.3">
      <c r="A2" s="2" t="s">
        <v>411</v>
      </c>
    </row>
    <row r="4" spans="1:4" x14ac:dyDescent="0.3">
      <c r="A4" s="3" t="s">
        <v>412</v>
      </c>
      <c r="B4" s="3" t="s">
        <v>40</v>
      </c>
      <c r="C4" s="3" t="s">
        <v>114</v>
      </c>
      <c r="D4" s="3" t="s">
        <v>187</v>
      </c>
    </row>
    <row r="5" spans="1:4" x14ac:dyDescent="0.3">
      <c r="A5" s="17" t="s">
        <v>413</v>
      </c>
      <c r="B5" s="9">
        <f>Metrics!D7</f>
        <v>29</v>
      </c>
      <c r="C5" s="9">
        <f>Metrics!E7</f>
        <v>34</v>
      </c>
      <c r="D5" s="9">
        <f>Metrics!F7</f>
        <v>61</v>
      </c>
    </row>
    <row r="6" spans="1:4" x14ac:dyDescent="0.3">
      <c r="A6" s="17" t="s">
        <v>414</v>
      </c>
      <c r="B6" s="7">
        <f>Metrics!D16</f>
        <v>24.1</v>
      </c>
      <c r="C6" s="7">
        <f>Metrics!E16</f>
        <v>12.483333333333333</v>
      </c>
      <c r="D6" s="7">
        <f>Metrics!F16</f>
        <v>4.2</v>
      </c>
    </row>
    <row r="7" spans="1:4" x14ac:dyDescent="0.3">
      <c r="A7" s="17" t="s">
        <v>415</v>
      </c>
      <c r="B7" s="7">
        <f>Metrics!D17</f>
        <v>49.862068965517238</v>
      </c>
      <c r="C7" s="7">
        <f>Metrics!E17</f>
        <v>22.029411764705884</v>
      </c>
      <c r="D7" s="7">
        <f>Metrics!F17</f>
        <v>4.1311475409836067</v>
      </c>
    </row>
    <row r="8" spans="1:4" x14ac:dyDescent="0.3">
      <c r="A8" s="17" t="s">
        <v>416</v>
      </c>
      <c r="B8" s="7">
        <f>Metrics!D10</f>
        <v>43.79</v>
      </c>
      <c r="C8" s="7">
        <f>Metrics!E10</f>
        <v>22.204999999999998</v>
      </c>
      <c r="D8" s="7">
        <f>Metrics!F10</f>
        <v>7.51</v>
      </c>
    </row>
    <row r="9" spans="1:4" x14ac:dyDescent="0.3">
      <c r="A9" s="17" t="s">
        <v>417</v>
      </c>
      <c r="B9" s="9">
        <f>Metrics!D14</f>
        <v>224</v>
      </c>
      <c r="C9" s="9">
        <f>Metrics!E14</f>
        <v>56.5</v>
      </c>
      <c r="D9" s="9">
        <f>Metrics!F14</f>
        <v>36</v>
      </c>
    </row>
    <row r="10" spans="1:4" x14ac:dyDescent="0.3">
      <c r="A10" s="17" t="s">
        <v>418</v>
      </c>
      <c r="B10" s="17"/>
      <c r="C10" s="25">
        <f>1-C7/$B$7</f>
        <v>0.55819298673826379</v>
      </c>
      <c r="D10" s="25">
        <f>1-D7/$B$7</f>
        <v>0.91714849329977555</v>
      </c>
    </row>
    <row r="11" spans="1:4" x14ac:dyDescent="0.3">
      <c r="A11" s="17" t="s">
        <v>419</v>
      </c>
      <c r="B11" s="17"/>
      <c r="C11" s="17"/>
      <c r="D11" s="22">
        <f>D5*($B$7-D7)/60</f>
        <v>46.493103448275861</v>
      </c>
    </row>
    <row r="13" spans="1:4" ht="15.6" x14ac:dyDescent="0.3">
      <c r="A13" s="10" t="s">
        <v>420</v>
      </c>
    </row>
    <row r="14" spans="1:4" x14ac:dyDescent="0.3">
      <c r="A14" s="3" t="s">
        <v>421</v>
      </c>
      <c r="B14" s="3" t="s">
        <v>422</v>
      </c>
      <c r="C14" s="3" t="s">
        <v>423</v>
      </c>
      <c r="D14" s="3" t="s">
        <v>424</v>
      </c>
    </row>
    <row r="15" spans="1:4" ht="30" customHeight="1" x14ac:dyDescent="0.3">
      <c r="A15" s="19" t="s">
        <v>425</v>
      </c>
      <c r="B15" s="19" t="s">
        <v>426</v>
      </c>
      <c r="C15" s="19" t="s">
        <v>427</v>
      </c>
      <c r="D15" s="19" t="s">
        <v>428</v>
      </c>
    </row>
    <row r="16" spans="1:4" ht="30" customHeight="1" x14ac:dyDescent="0.3">
      <c r="A16" s="19" t="s">
        <v>429</v>
      </c>
      <c r="B16" s="19" t="s">
        <v>430</v>
      </c>
      <c r="C16" s="19" t="s">
        <v>427</v>
      </c>
      <c r="D16" s="19" t="s">
        <v>431</v>
      </c>
    </row>
    <row r="17" spans="1:4" ht="30" customHeight="1" x14ac:dyDescent="0.3">
      <c r="A17" s="19" t="s">
        <v>432</v>
      </c>
      <c r="B17" s="19" t="s">
        <v>433</v>
      </c>
      <c r="C17" s="19" t="s">
        <v>427</v>
      </c>
      <c r="D17" s="19" t="s">
        <v>434</v>
      </c>
    </row>
    <row r="18" spans="1:4" ht="30" customHeight="1" x14ac:dyDescent="0.3">
      <c r="A18" s="19" t="s">
        <v>435</v>
      </c>
      <c r="B18" s="19" t="s">
        <v>436</v>
      </c>
      <c r="C18" s="19" t="s">
        <v>427</v>
      </c>
      <c r="D18" s="19" t="s">
        <v>437</v>
      </c>
    </row>
    <row r="19" spans="1:4" ht="30" customHeight="1" x14ac:dyDescent="0.3">
      <c r="A19" s="19" t="s">
        <v>438</v>
      </c>
      <c r="B19" s="19" t="s">
        <v>439</v>
      </c>
      <c r="C19" s="19" t="s">
        <v>440</v>
      </c>
      <c r="D19" s="19" t="s">
        <v>441</v>
      </c>
    </row>
    <row r="20" spans="1:4" ht="30" customHeight="1" x14ac:dyDescent="0.3">
      <c r="A20" s="19" t="s">
        <v>442</v>
      </c>
      <c r="B20" s="19" t="s">
        <v>443</v>
      </c>
      <c r="C20" s="19" t="s">
        <v>444</v>
      </c>
      <c r="D20" s="19" t="s">
        <v>445</v>
      </c>
    </row>
    <row r="21" spans="1:4" ht="30" customHeight="1" x14ac:dyDescent="0.3">
      <c r="A21" s="19" t="s">
        <v>446</v>
      </c>
      <c r="B21" s="19" t="s">
        <v>447</v>
      </c>
      <c r="C21" s="19" t="s">
        <v>444</v>
      </c>
      <c r="D21" s="19" t="s">
        <v>448</v>
      </c>
    </row>
    <row r="22" spans="1:4" ht="30" customHeight="1" x14ac:dyDescent="0.3">
      <c r="A22" s="19" t="s">
        <v>449</v>
      </c>
      <c r="B22" s="19" t="s">
        <v>450</v>
      </c>
      <c r="C22" s="19" t="s">
        <v>440</v>
      </c>
      <c r="D22" s="19" t="s">
        <v>451</v>
      </c>
    </row>
  </sheetData>
  <conditionalFormatting sqref="C15:C22">
    <cfRule type="expression" dxfId="4" priority="1">
      <formula>C15="Done"</formula>
    </cfRule>
    <cfRule type="expression" dxfId="3" priority="2">
      <formula>C15="Partly"</formula>
    </cfRule>
    <cfRule type="expression" dxfId="2" priority="3">
      <formula>C15="Next"</formula>
    </cfRule>
  </conditionalFormatting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showGridLines="0" workbookViewId="0"/>
  </sheetViews>
  <sheetFormatPr defaultRowHeight="14.4" x14ac:dyDescent="0.3"/>
  <cols>
    <col min="1" max="1" width="30" customWidth="1"/>
    <col min="2" max="3" width="50" customWidth="1"/>
    <col min="4" max="5" width="18" customWidth="1"/>
  </cols>
  <sheetData>
    <row r="1" spans="1:5" ht="21" x14ac:dyDescent="0.4">
      <c r="A1" s="1" t="s">
        <v>452</v>
      </c>
    </row>
    <row r="3" spans="1:5" x14ac:dyDescent="0.3">
      <c r="A3" s="3" t="s">
        <v>322</v>
      </c>
      <c r="B3" s="3" t="s">
        <v>453</v>
      </c>
      <c r="C3" s="3" t="s">
        <v>454</v>
      </c>
      <c r="D3" s="3" t="s">
        <v>323</v>
      </c>
      <c r="E3" s="3" t="s">
        <v>455</v>
      </c>
    </row>
    <row r="4" spans="1:5" ht="45" customHeight="1" x14ac:dyDescent="0.3">
      <c r="A4" s="19" t="s">
        <v>331</v>
      </c>
      <c r="B4" s="19" t="s">
        <v>456</v>
      </c>
      <c r="C4" s="19" t="s">
        <v>457</v>
      </c>
      <c r="D4" s="19" t="s">
        <v>458</v>
      </c>
      <c r="E4" s="19" t="s">
        <v>459</v>
      </c>
    </row>
    <row r="5" spans="1:5" ht="45" customHeight="1" x14ac:dyDescent="0.3">
      <c r="A5" s="19" t="s">
        <v>369</v>
      </c>
      <c r="B5" s="19" t="s">
        <v>460</v>
      </c>
      <c r="C5" s="19" t="s">
        <v>461</v>
      </c>
      <c r="D5" s="19" t="s">
        <v>337</v>
      </c>
      <c r="E5" s="19" t="s">
        <v>459</v>
      </c>
    </row>
    <row r="6" spans="1:5" ht="45" customHeight="1" x14ac:dyDescent="0.3">
      <c r="A6" s="19" t="s">
        <v>10</v>
      </c>
      <c r="B6" s="19" t="s">
        <v>462</v>
      </c>
      <c r="C6" s="19" t="s">
        <v>463</v>
      </c>
      <c r="D6" s="19" t="s">
        <v>343</v>
      </c>
      <c r="E6" s="19" t="s">
        <v>459</v>
      </c>
    </row>
    <row r="7" spans="1:5" ht="45" customHeight="1" x14ac:dyDescent="0.3">
      <c r="A7" s="19" t="s">
        <v>370</v>
      </c>
      <c r="B7" s="19" t="s">
        <v>464</v>
      </c>
      <c r="C7" s="19" t="s">
        <v>465</v>
      </c>
      <c r="D7" s="19" t="s">
        <v>346</v>
      </c>
      <c r="E7" s="19" t="s">
        <v>459</v>
      </c>
    </row>
    <row r="8" spans="1:5" ht="45" customHeight="1" x14ac:dyDescent="0.3">
      <c r="A8" s="19" t="s">
        <v>466</v>
      </c>
      <c r="B8" s="19" t="s">
        <v>467</v>
      </c>
      <c r="C8" s="19" t="s">
        <v>468</v>
      </c>
      <c r="D8" s="19" t="s">
        <v>337</v>
      </c>
      <c r="E8" s="19" t="s">
        <v>469</v>
      </c>
    </row>
    <row r="10" spans="1:5" ht="34.950000000000003" customHeight="1" x14ac:dyDescent="0.3">
      <c r="A10" s="33" t="s">
        <v>470</v>
      </c>
      <c r="B10" s="34"/>
      <c r="C10" s="34"/>
      <c r="D10" s="34"/>
      <c r="E10" s="34"/>
    </row>
  </sheetData>
  <mergeCells count="1">
    <mergeCell ref="A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6"/>
  <sheetViews>
    <sheetView showGridLines="0" workbookViewId="0"/>
  </sheetViews>
  <sheetFormatPr defaultRowHeight="14.4" x14ac:dyDescent="0.3"/>
  <cols>
    <col min="1" max="1" width="52" customWidth="1"/>
    <col min="2" max="3" width="24" customWidth="1"/>
    <col min="4" max="4" width="16" customWidth="1"/>
    <col min="5" max="5" width="10" customWidth="1"/>
  </cols>
  <sheetData>
    <row r="1" spans="1:5" ht="21" x14ac:dyDescent="0.4">
      <c r="A1" s="1" t="s">
        <v>20</v>
      </c>
    </row>
    <row r="2" spans="1:5" x14ac:dyDescent="0.3">
      <c r="A2" s="2" t="s">
        <v>471</v>
      </c>
    </row>
    <row r="3" spans="1:5" x14ac:dyDescent="0.3">
      <c r="A3" s="11" t="s">
        <v>472</v>
      </c>
      <c r="B3" s="11" t="str">
        <f>IF(COUNTIF(E6:E80,"FAIL")=0,"ALL CHECKS PASS","CHECK FAILURES")</f>
        <v>ALL CHECKS PASS</v>
      </c>
    </row>
    <row r="5" spans="1:5" x14ac:dyDescent="0.3">
      <c r="A5" s="3" t="s">
        <v>473</v>
      </c>
      <c r="B5" s="3" t="s">
        <v>474</v>
      </c>
      <c r="C5" s="3" t="s">
        <v>475</v>
      </c>
      <c r="D5" s="3" t="s">
        <v>476</v>
      </c>
      <c r="E5" s="3" t="s">
        <v>477</v>
      </c>
    </row>
    <row r="6" spans="1:5" x14ac:dyDescent="0.3">
      <c r="A6" s="31" t="s">
        <v>478</v>
      </c>
      <c r="B6" s="31">
        <f>Metrics!C7</f>
        <v>124</v>
      </c>
      <c r="C6" s="32">
        <v>124</v>
      </c>
      <c r="D6" s="31">
        <f t="shared" ref="D6:D46" si="0">ABS(B6-C6)</f>
        <v>0</v>
      </c>
      <c r="E6" s="31" t="str">
        <f t="shared" ref="E6:E46" si="1">IF(D6&lt;=0.000001,"PASS","FAIL")</f>
        <v>PASS</v>
      </c>
    </row>
    <row r="7" spans="1:5" x14ac:dyDescent="0.3">
      <c r="A7" s="31" t="s">
        <v>479</v>
      </c>
      <c r="B7" s="31">
        <f>Metrics!C8</f>
        <v>1.3777777777777778</v>
      </c>
      <c r="C7" s="32">
        <v>1.377777777777778</v>
      </c>
      <c r="D7" s="31">
        <f t="shared" si="0"/>
        <v>2.2204460492503131E-16</v>
      </c>
      <c r="E7" s="31" t="str">
        <f t="shared" si="1"/>
        <v>PASS</v>
      </c>
    </row>
    <row r="8" spans="1:5" x14ac:dyDescent="0.3">
      <c r="A8" s="31" t="s">
        <v>480</v>
      </c>
      <c r="B8" s="31">
        <f>Metrics!C10</f>
        <v>12.86</v>
      </c>
      <c r="C8" s="32">
        <v>12.86</v>
      </c>
      <c r="D8" s="31">
        <f t="shared" si="0"/>
        <v>0</v>
      </c>
      <c r="E8" s="31" t="str">
        <f t="shared" si="1"/>
        <v>PASS</v>
      </c>
    </row>
    <row r="9" spans="1:5" x14ac:dyDescent="0.3">
      <c r="A9" s="31" t="s">
        <v>481</v>
      </c>
      <c r="B9" s="31">
        <f>Metrics!C11</f>
        <v>59.042000000000002</v>
      </c>
      <c r="C9" s="32">
        <v>59.042000000000009</v>
      </c>
      <c r="D9" s="31">
        <f t="shared" si="0"/>
        <v>7.1054273576010019E-15</v>
      </c>
      <c r="E9" s="31" t="str">
        <f t="shared" si="1"/>
        <v>PASS</v>
      </c>
    </row>
    <row r="10" spans="1:5" x14ac:dyDescent="0.3">
      <c r="A10" s="31" t="s">
        <v>482</v>
      </c>
      <c r="B10" s="31">
        <f>Metrics!C12</f>
        <v>14</v>
      </c>
      <c r="C10" s="32">
        <v>14</v>
      </c>
      <c r="D10" s="31">
        <f t="shared" si="0"/>
        <v>0</v>
      </c>
      <c r="E10" s="31" t="str">
        <f t="shared" si="1"/>
        <v>PASS</v>
      </c>
    </row>
    <row r="11" spans="1:5" x14ac:dyDescent="0.3">
      <c r="A11" s="31" t="s">
        <v>483</v>
      </c>
      <c r="B11" s="31">
        <f>Metrics!C13</f>
        <v>0.11290322580645161</v>
      </c>
      <c r="C11" s="32">
        <v>0.1129032258064516</v>
      </c>
      <c r="D11" s="31">
        <f t="shared" si="0"/>
        <v>1.3877787807814457E-17</v>
      </c>
      <c r="E11" s="31" t="str">
        <f t="shared" si="1"/>
        <v>PASS</v>
      </c>
    </row>
    <row r="12" spans="1:5" x14ac:dyDescent="0.3">
      <c r="A12" s="31" t="s">
        <v>484</v>
      </c>
      <c r="B12" s="31">
        <f>Metrics!C14</f>
        <v>79</v>
      </c>
      <c r="C12" s="32">
        <v>79</v>
      </c>
      <c r="D12" s="31">
        <f t="shared" si="0"/>
        <v>0</v>
      </c>
      <c r="E12" s="31" t="str">
        <f t="shared" si="1"/>
        <v>PASS</v>
      </c>
    </row>
    <row r="13" spans="1:5" x14ac:dyDescent="0.3">
      <c r="A13" s="31" t="s">
        <v>485</v>
      </c>
      <c r="B13" s="31">
        <f>Metrics!C15</f>
        <v>184.5</v>
      </c>
      <c r="C13" s="32">
        <v>184.5</v>
      </c>
      <c r="D13" s="31">
        <f t="shared" si="0"/>
        <v>0</v>
      </c>
      <c r="E13" s="31" t="str">
        <f t="shared" si="1"/>
        <v>PASS</v>
      </c>
    </row>
    <row r="14" spans="1:5" x14ac:dyDescent="0.3">
      <c r="A14" s="31" t="s">
        <v>486</v>
      </c>
      <c r="B14" s="31">
        <f>Metrics!C16</f>
        <v>40.783333333333331</v>
      </c>
      <c r="C14" s="32">
        <v>40.783333333333331</v>
      </c>
      <c r="D14" s="31">
        <f t="shared" si="0"/>
        <v>0</v>
      </c>
      <c r="E14" s="31" t="str">
        <f t="shared" si="1"/>
        <v>PASS</v>
      </c>
    </row>
    <row r="15" spans="1:5" x14ac:dyDescent="0.3">
      <c r="A15" s="31" t="s">
        <v>487</v>
      </c>
      <c r="B15" s="31">
        <f>Metrics!D7</f>
        <v>29</v>
      </c>
      <c r="C15" s="32">
        <v>29</v>
      </c>
      <c r="D15" s="31">
        <f t="shared" si="0"/>
        <v>0</v>
      </c>
      <c r="E15" s="31" t="str">
        <f t="shared" si="1"/>
        <v>PASS</v>
      </c>
    </row>
    <row r="16" spans="1:5" x14ac:dyDescent="0.3">
      <c r="A16" s="31" t="s">
        <v>488</v>
      </c>
      <c r="B16" s="31">
        <f>Metrics!D8</f>
        <v>0.96666666666666667</v>
      </c>
      <c r="C16" s="32">
        <v>0.96666666666666667</v>
      </c>
      <c r="D16" s="31">
        <f t="shared" si="0"/>
        <v>0</v>
      </c>
      <c r="E16" s="31" t="str">
        <f t="shared" si="1"/>
        <v>PASS</v>
      </c>
    </row>
    <row r="17" spans="1:5" x14ac:dyDescent="0.3">
      <c r="A17" s="31" t="s">
        <v>489</v>
      </c>
      <c r="B17" s="31">
        <f>Metrics!D10</f>
        <v>43.79</v>
      </c>
      <c r="C17" s="32">
        <v>43.79</v>
      </c>
      <c r="D17" s="31">
        <f t="shared" si="0"/>
        <v>0</v>
      </c>
      <c r="E17" s="31" t="str">
        <f t="shared" si="1"/>
        <v>PASS</v>
      </c>
    </row>
    <row r="18" spans="1:5" x14ac:dyDescent="0.3">
      <c r="A18" s="31" t="s">
        <v>490</v>
      </c>
      <c r="B18" s="31">
        <f>Metrics!D11</f>
        <v>97.981999999999999</v>
      </c>
      <c r="C18" s="32">
        <v>97.981999999999999</v>
      </c>
      <c r="D18" s="31">
        <f t="shared" si="0"/>
        <v>0</v>
      </c>
      <c r="E18" s="31" t="str">
        <f t="shared" si="1"/>
        <v>PASS</v>
      </c>
    </row>
    <row r="19" spans="1:5" x14ac:dyDescent="0.3">
      <c r="A19" s="31" t="s">
        <v>491</v>
      </c>
      <c r="B19" s="31">
        <f>Metrics!D12</f>
        <v>7</v>
      </c>
      <c r="C19" s="32">
        <v>7</v>
      </c>
      <c r="D19" s="31">
        <f t="shared" si="0"/>
        <v>0</v>
      </c>
      <c r="E19" s="31" t="str">
        <f t="shared" si="1"/>
        <v>PASS</v>
      </c>
    </row>
    <row r="20" spans="1:5" x14ac:dyDescent="0.3">
      <c r="A20" s="31" t="s">
        <v>492</v>
      </c>
      <c r="B20" s="31">
        <f>Metrics!D13</f>
        <v>0.2413793103448276</v>
      </c>
      <c r="C20" s="32">
        <v>0.2413793103448276</v>
      </c>
      <c r="D20" s="31">
        <f t="shared" si="0"/>
        <v>0</v>
      </c>
      <c r="E20" s="31" t="str">
        <f t="shared" si="1"/>
        <v>PASS</v>
      </c>
    </row>
    <row r="21" spans="1:5" x14ac:dyDescent="0.3">
      <c r="A21" s="31" t="s">
        <v>493</v>
      </c>
      <c r="B21" s="31">
        <f>Metrics!D14</f>
        <v>224</v>
      </c>
      <c r="C21" s="32">
        <v>224</v>
      </c>
      <c r="D21" s="31">
        <f t="shared" si="0"/>
        <v>0</v>
      </c>
      <c r="E21" s="31" t="str">
        <f t="shared" si="1"/>
        <v>PASS</v>
      </c>
    </row>
    <row r="22" spans="1:5" x14ac:dyDescent="0.3">
      <c r="A22" s="31" t="s">
        <v>494</v>
      </c>
      <c r="B22" s="31">
        <f>Metrics!D15</f>
        <v>322.71428571428572</v>
      </c>
      <c r="C22" s="32">
        <v>322.71428571428572</v>
      </c>
      <c r="D22" s="31">
        <f t="shared" si="0"/>
        <v>0</v>
      </c>
      <c r="E22" s="31" t="str">
        <f t="shared" si="1"/>
        <v>PASS</v>
      </c>
    </row>
    <row r="23" spans="1:5" x14ac:dyDescent="0.3">
      <c r="A23" s="31" t="s">
        <v>495</v>
      </c>
      <c r="B23" s="31">
        <f>Metrics!D16</f>
        <v>24.1</v>
      </c>
      <c r="C23" s="32">
        <v>24.1</v>
      </c>
      <c r="D23" s="31">
        <f t="shared" si="0"/>
        <v>0</v>
      </c>
      <c r="E23" s="31" t="str">
        <f t="shared" si="1"/>
        <v>PASS</v>
      </c>
    </row>
    <row r="24" spans="1:5" x14ac:dyDescent="0.3">
      <c r="A24" s="31" t="s">
        <v>496</v>
      </c>
      <c r="B24" s="31">
        <f>Metrics!E7</f>
        <v>34</v>
      </c>
      <c r="C24" s="32">
        <v>34</v>
      </c>
      <c r="D24" s="31">
        <f t="shared" si="0"/>
        <v>0</v>
      </c>
      <c r="E24" s="31" t="str">
        <f t="shared" si="1"/>
        <v>PASS</v>
      </c>
    </row>
    <row r="25" spans="1:5" x14ac:dyDescent="0.3">
      <c r="A25" s="31" t="s">
        <v>497</v>
      </c>
      <c r="B25" s="31">
        <f>Metrics!E8</f>
        <v>1.1333333333333333</v>
      </c>
      <c r="C25" s="32">
        <v>1.1333333333333331</v>
      </c>
      <c r="D25" s="31">
        <f t="shared" si="0"/>
        <v>2.2204460492503131E-16</v>
      </c>
      <c r="E25" s="31" t="str">
        <f t="shared" si="1"/>
        <v>PASS</v>
      </c>
    </row>
    <row r="26" spans="1:5" x14ac:dyDescent="0.3">
      <c r="A26" s="31" t="s">
        <v>498</v>
      </c>
      <c r="B26" s="31">
        <f>Metrics!E10</f>
        <v>22.204999999999998</v>
      </c>
      <c r="C26" s="32">
        <v>22.204999999999998</v>
      </c>
      <c r="D26" s="31">
        <f t="shared" si="0"/>
        <v>0</v>
      </c>
      <c r="E26" s="31" t="str">
        <f t="shared" si="1"/>
        <v>PASS</v>
      </c>
    </row>
    <row r="27" spans="1:5" x14ac:dyDescent="0.3">
      <c r="A27" s="31" t="s">
        <v>499</v>
      </c>
      <c r="B27" s="31">
        <f>Metrics!E11</f>
        <v>53.153999999999996</v>
      </c>
      <c r="C27" s="32">
        <v>53.154000000000003</v>
      </c>
      <c r="D27" s="31">
        <f t="shared" si="0"/>
        <v>7.1054273576010019E-15</v>
      </c>
      <c r="E27" s="31" t="str">
        <f t="shared" si="1"/>
        <v>PASS</v>
      </c>
    </row>
    <row r="28" spans="1:5" x14ac:dyDescent="0.3">
      <c r="A28" s="31" t="s">
        <v>500</v>
      </c>
      <c r="B28" s="31">
        <f>Metrics!E12</f>
        <v>2</v>
      </c>
      <c r="C28" s="32">
        <v>2</v>
      </c>
      <c r="D28" s="31">
        <f t="shared" si="0"/>
        <v>0</v>
      </c>
      <c r="E28" s="31" t="str">
        <f t="shared" si="1"/>
        <v>PASS</v>
      </c>
    </row>
    <row r="29" spans="1:5" x14ac:dyDescent="0.3">
      <c r="A29" s="31" t="s">
        <v>501</v>
      </c>
      <c r="B29" s="31">
        <f>Metrics!E13</f>
        <v>5.8823529411764705E-2</v>
      </c>
      <c r="C29" s="32">
        <v>5.8823529411764712E-2</v>
      </c>
      <c r="D29" s="31">
        <f t="shared" si="0"/>
        <v>6.9388939039072284E-18</v>
      </c>
      <c r="E29" s="31" t="str">
        <f t="shared" si="1"/>
        <v>PASS</v>
      </c>
    </row>
    <row r="30" spans="1:5" x14ac:dyDescent="0.3">
      <c r="A30" s="31" t="s">
        <v>502</v>
      </c>
      <c r="B30" s="31">
        <f>Metrics!E14</f>
        <v>56.5</v>
      </c>
      <c r="C30" s="32">
        <v>56.5</v>
      </c>
      <c r="D30" s="31">
        <f t="shared" si="0"/>
        <v>0</v>
      </c>
      <c r="E30" s="31" t="str">
        <f t="shared" si="1"/>
        <v>PASS</v>
      </c>
    </row>
    <row r="31" spans="1:5" x14ac:dyDescent="0.3">
      <c r="A31" s="31" t="s">
        <v>503</v>
      </c>
      <c r="B31" s="31">
        <f>Metrics!E15</f>
        <v>56.5</v>
      </c>
      <c r="C31" s="32">
        <v>56.5</v>
      </c>
      <c r="D31" s="31">
        <f t="shared" si="0"/>
        <v>0</v>
      </c>
      <c r="E31" s="31" t="str">
        <f t="shared" si="1"/>
        <v>PASS</v>
      </c>
    </row>
    <row r="32" spans="1:5" x14ac:dyDescent="0.3">
      <c r="A32" s="31" t="s">
        <v>504</v>
      </c>
      <c r="B32" s="31">
        <f>Metrics!E16</f>
        <v>12.483333333333333</v>
      </c>
      <c r="C32" s="32">
        <v>12.483333333333331</v>
      </c>
      <c r="D32" s="31">
        <f t="shared" si="0"/>
        <v>1.7763568394002505E-15</v>
      </c>
      <c r="E32" s="31" t="str">
        <f t="shared" si="1"/>
        <v>PASS</v>
      </c>
    </row>
    <row r="33" spans="1:5" x14ac:dyDescent="0.3">
      <c r="A33" s="31" t="s">
        <v>505</v>
      </c>
      <c r="B33" s="31">
        <f>Metrics!F7</f>
        <v>61</v>
      </c>
      <c r="C33" s="32">
        <v>61</v>
      </c>
      <c r="D33" s="31">
        <f t="shared" si="0"/>
        <v>0</v>
      </c>
      <c r="E33" s="31" t="str">
        <f t="shared" si="1"/>
        <v>PASS</v>
      </c>
    </row>
    <row r="34" spans="1:5" x14ac:dyDescent="0.3">
      <c r="A34" s="31" t="s">
        <v>506</v>
      </c>
      <c r="B34" s="31">
        <f>Metrics!F8</f>
        <v>2.0333333333333332</v>
      </c>
      <c r="C34" s="32">
        <v>2.0333333333333332</v>
      </c>
      <c r="D34" s="31">
        <f t="shared" si="0"/>
        <v>0</v>
      </c>
      <c r="E34" s="31" t="str">
        <f t="shared" si="1"/>
        <v>PASS</v>
      </c>
    </row>
    <row r="35" spans="1:5" x14ac:dyDescent="0.3">
      <c r="A35" s="31" t="s">
        <v>507</v>
      </c>
      <c r="B35" s="31">
        <f>Metrics!F10</f>
        <v>7.51</v>
      </c>
      <c r="C35" s="32">
        <v>7.51</v>
      </c>
      <c r="D35" s="31">
        <f t="shared" si="0"/>
        <v>0</v>
      </c>
      <c r="E35" s="31" t="str">
        <f t="shared" si="1"/>
        <v>PASS</v>
      </c>
    </row>
    <row r="36" spans="1:5" x14ac:dyDescent="0.3">
      <c r="A36" s="31" t="s">
        <v>508</v>
      </c>
      <c r="B36" s="31">
        <f>Metrics!F11</f>
        <v>13.29</v>
      </c>
      <c r="C36" s="32">
        <v>13.29</v>
      </c>
      <c r="D36" s="31">
        <f t="shared" si="0"/>
        <v>0</v>
      </c>
      <c r="E36" s="31" t="str">
        <f t="shared" si="1"/>
        <v>PASS</v>
      </c>
    </row>
    <row r="37" spans="1:5" x14ac:dyDescent="0.3">
      <c r="A37" s="31" t="s">
        <v>509</v>
      </c>
      <c r="B37" s="31">
        <f>Metrics!F12</f>
        <v>5</v>
      </c>
      <c r="C37" s="32">
        <v>5</v>
      </c>
      <c r="D37" s="31">
        <f t="shared" si="0"/>
        <v>0</v>
      </c>
      <c r="E37" s="31" t="str">
        <f t="shared" si="1"/>
        <v>PASS</v>
      </c>
    </row>
    <row r="38" spans="1:5" x14ac:dyDescent="0.3">
      <c r="A38" s="31" t="s">
        <v>510</v>
      </c>
      <c r="B38" s="31">
        <f>Metrics!F13</f>
        <v>8.1967213114754092E-2</v>
      </c>
      <c r="C38" s="32">
        <v>8.1967213114754092E-2</v>
      </c>
      <c r="D38" s="31">
        <f t="shared" si="0"/>
        <v>0</v>
      </c>
      <c r="E38" s="31" t="str">
        <f t="shared" si="1"/>
        <v>PASS</v>
      </c>
    </row>
    <row r="39" spans="1:5" x14ac:dyDescent="0.3">
      <c r="A39" s="31" t="s">
        <v>511</v>
      </c>
      <c r="B39" s="31">
        <f>Metrics!F14</f>
        <v>36</v>
      </c>
      <c r="C39" s="32">
        <v>36</v>
      </c>
      <c r="D39" s="31">
        <f t="shared" si="0"/>
        <v>0</v>
      </c>
      <c r="E39" s="31" t="str">
        <f t="shared" si="1"/>
        <v>PASS</v>
      </c>
    </row>
    <row r="40" spans="1:5" x14ac:dyDescent="0.3">
      <c r="A40" s="31" t="s">
        <v>512</v>
      </c>
      <c r="B40" s="31">
        <f>Metrics!F15</f>
        <v>42.2</v>
      </c>
      <c r="C40" s="32">
        <v>42.2</v>
      </c>
      <c r="D40" s="31">
        <f t="shared" si="0"/>
        <v>0</v>
      </c>
      <c r="E40" s="31" t="str">
        <f t="shared" si="1"/>
        <v>PASS</v>
      </c>
    </row>
    <row r="41" spans="1:5" x14ac:dyDescent="0.3">
      <c r="A41" s="31" t="s">
        <v>513</v>
      </c>
      <c r="B41" s="31">
        <f>Metrics!F16</f>
        <v>4.2</v>
      </c>
      <c r="C41" s="32">
        <v>4.2</v>
      </c>
      <c r="D41" s="31">
        <f t="shared" si="0"/>
        <v>0</v>
      </c>
      <c r="E41" s="31" t="str">
        <f t="shared" si="1"/>
        <v>PASS</v>
      </c>
    </row>
    <row r="42" spans="1:5" x14ac:dyDescent="0.3">
      <c r="A42" s="31" t="s">
        <v>514</v>
      </c>
      <c r="B42" s="31">
        <f>0</f>
        <v>0</v>
      </c>
      <c r="C42" s="32">
        <v>0</v>
      </c>
      <c r="D42" s="31">
        <f t="shared" si="0"/>
        <v>0</v>
      </c>
      <c r="E42" s="31" t="str">
        <f t="shared" si="1"/>
        <v>PASS</v>
      </c>
    </row>
    <row r="43" spans="1:5" x14ac:dyDescent="0.3">
      <c r="A43" s="31" t="s">
        <v>515</v>
      </c>
      <c r="B43" s="31">
        <f>0</f>
        <v>0</v>
      </c>
      <c r="C43" s="32">
        <v>0</v>
      </c>
      <c r="D43" s="31">
        <f t="shared" si="0"/>
        <v>0</v>
      </c>
      <c r="E43" s="31" t="str">
        <f t="shared" si="1"/>
        <v>PASS</v>
      </c>
    </row>
    <row r="44" spans="1:5" x14ac:dyDescent="0.3">
      <c r="A44" s="31" t="s">
        <v>516</v>
      </c>
      <c r="B44" s="31">
        <f>Weekly_Trend!D6</f>
        <v>8</v>
      </c>
      <c r="C44" s="32">
        <v>8</v>
      </c>
      <c r="D44" s="31">
        <f t="shared" si="0"/>
        <v>0</v>
      </c>
      <c r="E44" s="31" t="str">
        <f t="shared" si="1"/>
        <v>PASS</v>
      </c>
    </row>
    <row r="45" spans="1:5" x14ac:dyDescent="0.3">
      <c r="A45" s="31" t="s">
        <v>517</v>
      </c>
      <c r="B45" s="31">
        <f>SUM(Weekly_Trend!D6:D18)</f>
        <v>124</v>
      </c>
      <c r="C45" s="32">
        <v>124</v>
      </c>
      <c r="D45" s="31">
        <f t="shared" si="0"/>
        <v>0</v>
      </c>
      <c r="E45" s="31" t="str">
        <f t="shared" si="1"/>
        <v>PASS</v>
      </c>
    </row>
    <row r="46" spans="1:5" x14ac:dyDescent="0.3">
      <c r="A46" s="31" t="s">
        <v>518</v>
      </c>
      <c r="B46" s="31">
        <f>IF(Benchmarks!B21="Elite",1,0)</f>
        <v>1</v>
      </c>
      <c r="C46" s="32">
        <v>1</v>
      </c>
      <c r="D46" s="31">
        <f t="shared" si="0"/>
        <v>0</v>
      </c>
      <c r="E46" s="31" t="str">
        <f t="shared" si="1"/>
        <v>PASS</v>
      </c>
    </row>
  </sheetData>
  <conditionalFormatting sqref="E6:E46">
    <cfRule type="expression" dxfId="1" priority="1">
      <formula>E6="PASS"</formula>
    </cfRule>
    <cfRule type="expression" dxfId="0" priority="2">
      <formula>E6="FAIL"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Summary</vt:lpstr>
      <vt:lpstr>Raw_Data</vt:lpstr>
      <vt:lpstr>Metrics</vt:lpstr>
      <vt:lpstr>Weekly_Trend</vt:lpstr>
      <vt:lpstr>Benchmarks</vt:lpstr>
      <vt:lpstr>Failure_Analysis</vt:lpstr>
      <vt:lpstr>Toil_Reduction</vt:lpstr>
      <vt:lpstr>Definitions</vt:lpstr>
      <vt:lpstr>Checks</vt:lpstr>
      <vt:lpstr>ChangeFailed</vt:lpstr>
      <vt:lpstr>DeployDate</vt:lpstr>
      <vt:lpstr>DeploymentId</vt:lpstr>
      <vt:lpstr>FailureCategory</vt:lpstr>
      <vt:lpstr>LeadTimeHours</vt:lpstr>
      <vt:lpstr>Phase</vt:lpstr>
      <vt:lpstr>RecoveryMinutes</vt:lpstr>
      <vt:lpstr>Remediation</vt:lpstr>
      <vt:lpstr>ToilMinutes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Bishar Mohamed</cp:lastModifiedBy>
  <dcterms:created xsi:type="dcterms:W3CDTF">2026-10-17T22:01:52Z</dcterms:created>
  <dcterms:modified xsi:type="dcterms:W3CDTF">2026-10-17T22:01:58Z</dcterms:modified>
</cp:coreProperties>
</file>