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sha\Videos\Farhan Dump\DevOps\Assignment 7\healthqueue-capstone-\reports\"/>
    </mc:Choice>
  </mc:AlternateContent>
  <xr:revisionPtr revIDLastSave="0" documentId="13_ncr:1_{4104735C-F797-44AC-878C-3D1C3D807935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Dashboard" sheetId="1" r:id="rId1"/>
    <sheet name="Window_Targets" sheetId="2" r:id="rId2"/>
    <sheet name="SLI_Definitions" sheetId="3" r:id="rId3"/>
    <sheet name="Synthetic_Daily" sheetId="4" r:id="rId4"/>
    <sheet name="Error_Budget" sheetId="5" r:id="rId5"/>
    <sheet name="Observed_Local" sheetId="6" r:id="rId6"/>
    <sheet name="Error_Budget_Policy" sheetId="7" r:id="rId7"/>
    <sheet name="Explanation" sheetId="8" r:id="rId8"/>
    <sheet name="Check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0" i="6"/>
  <c r="D20" i="6" s="1"/>
  <c r="C19" i="6"/>
  <c r="B19" i="9" s="1"/>
  <c r="D19" i="9" s="1"/>
  <c r="E19" i="9" s="1"/>
  <c r="B19" i="6"/>
  <c r="C18" i="6"/>
  <c r="B18" i="6"/>
  <c r="D18" i="6" s="1"/>
  <c r="D9" i="5"/>
  <c r="C9" i="5"/>
  <c r="B9" i="5"/>
  <c r="B9" i="1" s="1"/>
  <c r="D8" i="5"/>
  <c r="C8" i="5"/>
  <c r="F8" i="5" s="1"/>
  <c r="B8" i="5"/>
  <c r="B8" i="1" s="1"/>
  <c r="D7" i="5"/>
  <c r="C7" i="5"/>
  <c r="B7" i="5"/>
  <c r="B7" i="1" s="1"/>
  <c r="D6" i="5"/>
  <c r="C6" i="5"/>
  <c r="B6" i="5"/>
  <c r="B6" i="1" s="1"/>
  <c r="H36" i="4"/>
  <c r="G36" i="4"/>
  <c r="F36" i="4"/>
  <c r="E36" i="4"/>
  <c r="D36" i="4"/>
  <c r="C36" i="4"/>
  <c r="B36" i="4"/>
  <c r="O35" i="4"/>
  <c r="L35" i="4"/>
  <c r="K35" i="4"/>
  <c r="J35" i="4"/>
  <c r="O34" i="4"/>
  <c r="L34" i="4"/>
  <c r="K34" i="4"/>
  <c r="J34" i="4"/>
  <c r="O33" i="4"/>
  <c r="L33" i="4"/>
  <c r="K33" i="4"/>
  <c r="J33" i="4"/>
  <c r="O32" i="4"/>
  <c r="L32" i="4"/>
  <c r="K32" i="4"/>
  <c r="J32" i="4"/>
  <c r="O31" i="4"/>
  <c r="L31" i="4"/>
  <c r="K31" i="4"/>
  <c r="J31" i="4"/>
  <c r="O30" i="4"/>
  <c r="L30" i="4"/>
  <c r="K30" i="4"/>
  <c r="J30" i="4"/>
  <c r="O29" i="4"/>
  <c r="L29" i="4"/>
  <c r="K29" i="4"/>
  <c r="J29" i="4"/>
  <c r="O28" i="4"/>
  <c r="L28" i="4"/>
  <c r="K28" i="4"/>
  <c r="J28" i="4"/>
  <c r="O27" i="4"/>
  <c r="L27" i="4"/>
  <c r="K27" i="4"/>
  <c r="J27" i="4"/>
  <c r="O26" i="4"/>
  <c r="L26" i="4"/>
  <c r="K26" i="4"/>
  <c r="J26" i="4"/>
  <c r="O25" i="4"/>
  <c r="L25" i="4"/>
  <c r="K25" i="4"/>
  <c r="J25" i="4"/>
  <c r="O24" i="4"/>
  <c r="L24" i="4"/>
  <c r="K24" i="4"/>
  <c r="J24" i="4"/>
  <c r="O23" i="4"/>
  <c r="L23" i="4"/>
  <c r="K23" i="4"/>
  <c r="J23" i="4"/>
  <c r="O22" i="4"/>
  <c r="L22" i="4"/>
  <c r="K22" i="4"/>
  <c r="J22" i="4"/>
  <c r="O21" i="4"/>
  <c r="L21" i="4"/>
  <c r="K21" i="4"/>
  <c r="J21" i="4"/>
  <c r="O20" i="4"/>
  <c r="L20" i="4"/>
  <c r="K20" i="4"/>
  <c r="J20" i="4"/>
  <c r="O19" i="4"/>
  <c r="L19" i="4"/>
  <c r="K19" i="4"/>
  <c r="J19" i="4"/>
  <c r="O18" i="4"/>
  <c r="L18" i="4"/>
  <c r="K18" i="4"/>
  <c r="J18" i="4"/>
  <c r="O17" i="4"/>
  <c r="L17" i="4"/>
  <c r="K17" i="4"/>
  <c r="J17" i="4"/>
  <c r="O16" i="4"/>
  <c r="L16" i="4"/>
  <c r="K16" i="4"/>
  <c r="J16" i="4"/>
  <c r="O15" i="4"/>
  <c r="L15" i="4"/>
  <c r="K15" i="4"/>
  <c r="J15" i="4"/>
  <c r="O14" i="4"/>
  <c r="L14" i="4"/>
  <c r="K14" i="4"/>
  <c r="J14" i="4"/>
  <c r="O13" i="4"/>
  <c r="L13" i="4"/>
  <c r="K13" i="4"/>
  <c r="J13" i="4"/>
  <c r="O12" i="4"/>
  <c r="L12" i="4"/>
  <c r="K12" i="4"/>
  <c r="J12" i="4"/>
  <c r="O11" i="4"/>
  <c r="L11" i="4"/>
  <c r="K11" i="4"/>
  <c r="J11" i="4"/>
  <c r="O10" i="4"/>
  <c r="L10" i="4"/>
  <c r="K10" i="4"/>
  <c r="J10" i="4"/>
  <c r="O9" i="4"/>
  <c r="L9" i="4"/>
  <c r="K9" i="4"/>
  <c r="J9" i="4"/>
  <c r="O8" i="4"/>
  <c r="L8" i="4"/>
  <c r="K8" i="4"/>
  <c r="J8" i="4"/>
  <c r="O7" i="4"/>
  <c r="L7" i="4"/>
  <c r="K7" i="4"/>
  <c r="J7" i="4"/>
  <c r="O6" i="4"/>
  <c r="L6" i="4"/>
  <c r="K6" i="4"/>
  <c r="J6" i="4"/>
  <c r="H8" i="3"/>
  <c r="H7" i="3"/>
  <c r="H6" i="3"/>
  <c r="H5" i="3"/>
  <c r="C19" i="2"/>
  <c r="C18" i="2"/>
  <c r="C17" i="2"/>
  <c r="C16" i="2"/>
  <c r="C15" i="2"/>
  <c r="B5" i="2"/>
  <c r="G9" i="1"/>
  <c r="A9" i="1"/>
  <c r="G8" i="1"/>
  <c r="A8" i="1"/>
  <c r="G7" i="1"/>
  <c r="A7" i="1"/>
  <c r="G6" i="1"/>
  <c r="A6" i="1"/>
  <c r="F7" i="5" l="1"/>
  <c r="D19" i="6"/>
  <c r="B18" i="9"/>
  <c r="D18" i="9" s="1"/>
  <c r="E18" i="9" s="1"/>
  <c r="G9" i="5"/>
  <c r="E9" i="5"/>
  <c r="C9" i="1" s="1"/>
  <c r="F9" i="5"/>
  <c r="B15" i="9"/>
  <c r="D15" i="9" s="1"/>
  <c r="E15" i="9" s="1"/>
  <c r="G8" i="5"/>
  <c r="E8" i="5"/>
  <c r="C8" i="1" s="1"/>
  <c r="E7" i="5"/>
  <c r="C7" i="1" s="1"/>
  <c r="G7" i="5"/>
  <c r="E6" i="5"/>
  <c r="G6" i="5"/>
  <c r="B8" i="9"/>
  <c r="D8" i="9" s="1"/>
  <c r="E8" i="9" s="1"/>
  <c r="F6" i="5"/>
  <c r="B7" i="9"/>
  <c r="D7" i="9" s="1"/>
  <c r="E7" i="9" s="1"/>
  <c r="B19" i="2"/>
  <c r="B18" i="2"/>
  <c r="B17" i="2"/>
  <c r="B16" i="2"/>
  <c r="B15" i="2"/>
  <c r="B10" i="2"/>
  <c r="I9" i="5" l="1"/>
  <c r="J9" i="5" s="1"/>
  <c r="N33" i="4"/>
  <c r="N34" i="4"/>
  <c r="N8" i="4"/>
  <c r="N9" i="4"/>
  <c r="N6" i="4"/>
  <c r="N10" i="4"/>
  <c r="N11" i="4"/>
  <c r="N12" i="4"/>
  <c r="N13" i="4"/>
  <c r="N7" i="4"/>
  <c r="N14" i="4"/>
  <c r="N15" i="4"/>
  <c r="N16" i="4"/>
  <c r="N17" i="4"/>
  <c r="N18" i="4"/>
  <c r="N19" i="4"/>
  <c r="N20" i="4"/>
  <c r="N21" i="4"/>
  <c r="N22" i="4"/>
  <c r="N25" i="4"/>
  <c r="N26" i="4"/>
  <c r="N27" i="4"/>
  <c r="N28" i="4"/>
  <c r="N35" i="4"/>
  <c r="N23" i="4"/>
  <c r="N24" i="4"/>
  <c r="N29" i="4"/>
  <c r="N30" i="4"/>
  <c r="N31" i="4"/>
  <c r="N32" i="4"/>
  <c r="I8" i="5"/>
  <c r="J8" i="5" s="1"/>
  <c r="H8" i="5"/>
  <c r="I7" i="5"/>
  <c r="J7" i="5" s="1"/>
  <c r="H7" i="5"/>
  <c r="C6" i="1"/>
  <c r="B9" i="9"/>
  <c r="D9" i="9" s="1"/>
  <c r="E9" i="9" s="1"/>
  <c r="M30" i="4"/>
  <c r="M31" i="4"/>
  <c r="M32" i="4"/>
  <c r="M33" i="4"/>
  <c r="M34" i="4"/>
  <c r="M35" i="4"/>
  <c r="B17" i="9" s="1"/>
  <c r="D17" i="9" s="1"/>
  <c r="E17" i="9" s="1"/>
  <c r="M9" i="4"/>
  <c r="M7" i="4"/>
  <c r="M8" i="4"/>
  <c r="M10" i="4"/>
  <c r="M11" i="4"/>
  <c r="M12" i="4"/>
  <c r="M13" i="4"/>
  <c r="B10" i="9"/>
  <c r="D10" i="9" s="1"/>
  <c r="E10" i="9" s="1"/>
  <c r="M6" i="4"/>
  <c r="M14" i="4"/>
  <c r="M15" i="4"/>
  <c r="M16" i="4"/>
  <c r="M17" i="4"/>
  <c r="M18" i="4"/>
  <c r="M19" i="4"/>
  <c r="M20" i="4"/>
  <c r="M21" i="4"/>
  <c r="M25" i="4"/>
  <c r="I6" i="5"/>
  <c r="J6" i="5" s="1"/>
  <c r="M22" i="4"/>
  <c r="M23" i="4"/>
  <c r="M24" i="4"/>
  <c r="M26" i="4"/>
  <c r="M27" i="4"/>
  <c r="M28" i="4"/>
  <c r="M29" i="4"/>
  <c r="B11" i="2"/>
  <c r="E11" i="1"/>
  <c r="B6" i="9"/>
  <c r="D6" i="9" s="1"/>
  <c r="E6" i="9" s="1"/>
  <c r="H6" i="5"/>
  <c r="H9" i="5"/>
  <c r="K9" i="5" l="1"/>
  <c r="E9" i="1"/>
  <c r="K8" i="5"/>
  <c r="F8" i="1" s="1"/>
  <c r="E8" i="1"/>
  <c r="A7" i="8"/>
  <c r="D8" i="1"/>
  <c r="B14" i="9"/>
  <c r="D14" i="9" s="1"/>
  <c r="E14" i="9" s="1"/>
  <c r="E7" i="1"/>
  <c r="K7" i="5"/>
  <c r="F7" i="1" s="1"/>
  <c r="A6" i="8"/>
  <c r="D7" i="1"/>
  <c r="B13" i="9"/>
  <c r="D13" i="9" s="1"/>
  <c r="E13" i="9" s="1"/>
  <c r="B12" i="9"/>
  <c r="D12" i="9" s="1"/>
  <c r="E12" i="9" s="1"/>
  <c r="E6" i="1"/>
  <c r="K6" i="5"/>
  <c r="F6" i="1" s="1"/>
  <c r="D6" i="1"/>
  <c r="B11" i="9"/>
  <c r="D11" i="9" s="1"/>
  <c r="E11" i="9" s="1"/>
  <c r="A4" i="8"/>
  <c r="D9" i="1"/>
  <c r="B16" i="9"/>
  <c r="D16" i="9" s="1"/>
  <c r="E16" i="9" s="1"/>
  <c r="B3" i="9" l="1"/>
  <c r="E12" i="1" s="1"/>
  <c r="F9" i="1"/>
  <c r="A5" i="8"/>
</calcChain>
</file>

<file path=xl/sharedStrings.xml><?xml version="1.0" encoding="utf-8"?>
<sst xmlns="http://schemas.openxmlformats.org/spreadsheetml/2006/main" count="206" uniqueCount="189">
  <si>
    <t>HealthQueue SLO &amp; Error Budget Dashboard</t>
  </si>
  <si>
    <t>30-day window: 1-30 September 2026. Built by scripts/build_slo_workbook.py.</t>
  </si>
  <si>
    <t>SYNTHETIC monthly data for the assignment - not real production measurements. See Observed_Local for real local load tests.</t>
  </si>
  <si>
    <t>SLI</t>
  </si>
  <si>
    <t>SLO</t>
  </si>
  <si>
    <t>Observed</t>
  </si>
  <si>
    <t>Budget used</t>
  </si>
  <si>
    <t>Budget remaining</t>
  </si>
  <si>
    <t>Status</t>
  </si>
  <si>
    <t>Unit</t>
  </si>
  <si>
    <t>Allowed downtime for 99.9% over 30 days (minutes)</t>
  </si>
  <si>
    <t>Independent calculation checks</t>
  </si>
  <si>
    <t>Measurement window, targets and allowed downtime</t>
  </si>
  <si>
    <t>Blue cells are design inputs (editable). Everything else is calculated.</t>
  </si>
  <si>
    <t>Parameter</t>
  </si>
  <si>
    <t>Value</t>
  </si>
  <si>
    <t>Explanation</t>
  </si>
  <si>
    <t>Measurement window (days)</t>
  </si>
  <si>
    <t>Rolling 30-day window, evaluated daily.</t>
  </si>
  <si>
    <t>Minutes in window</t>
  </si>
  <si>
    <t>30 x 24 x 60 = 43,200 minutes.</t>
  </si>
  <si>
    <t>Availability SLO target</t>
  </si>
  <si>
    <t>Proposed design decision (not mandated by the assignment): 99.9% of eligible requests succeed.</t>
  </si>
  <si>
    <t>Latency SLO target</t>
  </si>
  <si>
    <t>99% of eligible requests complete in under the threshold.</t>
  </si>
  <si>
    <t>Latency threshold (ms)</t>
  </si>
  <si>
    <t>Matches the le=0.3 histogram bucket exposed by the API.</t>
  </si>
  <si>
    <t>Submission SLO target</t>
  </si>
  <si>
    <t>99.5% of VALID booking attempts get a correct answer (201 booked or 409 slot taken).</t>
  </si>
  <si>
    <t>Allowed downtime in window (minutes)</t>
  </si>
  <si>
    <t>Time-based budget: 43,200 x (1 - 0.999) = 43.2 minutes per 30 days.</t>
  </si>
  <si>
    <t>Allowed downtime in window (hours)</t>
  </si>
  <si>
    <t>43.2 / 60 = 0.72 hours.</t>
  </si>
  <si>
    <t>What different availability targets would allow (time-based, per window)</t>
  </si>
  <si>
    <t>Availability target</t>
  </si>
  <si>
    <t>Allowed downtime / window (min)</t>
  </si>
  <si>
    <t>Allowed downtime / week (min)</t>
  </si>
  <si>
    <t>Policy: CAUTION when budget remaining is below</t>
  </si>
  <si>
    <t>See the Error_Budget_Policy sheet for what each state means.</t>
  </si>
  <si>
    <t>Policy: FREEZE risky releases when remaining is below</t>
  </si>
  <si>
    <t>SLI / SLO definitions</t>
  </si>
  <si>
    <t>Each SLI = good events / eligible events, measured by the API's Prometheus metrics.</t>
  </si>
  <si>
    <t>User journey</t>
  </si>
  <si>
    <t>Numerator (good events)</t>
  </si>
  <si>
    <t>Denominator (eligible events)</t>
  </si>
  <si>
    <t>Excluded (not eligible)</t>
  </si>
  <si>
    <t>Window</t>
  </si>
  <si>
    <t>Success criterion</t>
  </si>
  <si>
    <t>SLO target</t>
  </si>
  <si>
    <t>PromQL (30-day)</t>
  </si>
  <si>
    <t>Availability (request-based)</t>
  </si>
  <si>
    <t>Any patient-facing API call</t>
  </si>
  <si>
    <t>Eligible /v1 requests answered with a non-5xx status</t>
  </si>
  <si>
    <t>All requests to /v1/* routes</t>
  </si>
  <si>
    <t>/healthz, /readyz, /metrics (operational endpoints); 4xx count as GOOD because the service worked correctly</t>
  </si>
  <si>
    <t>30-day rolling</t>
  </si>
  <si>
    <t>status &lt; 500</t>
  </si>
  <si>
    <t>sum(rate(healthqueue_http_requests_total{route=~"/v1/.*",status!~"5.."}[30d])) / sum(rate(healthqueue_http_requests_total{route=~"/v1/.*"}[30d]))</t>
  </si>
  <si>
    <t>Availability (time-based)</t>
  </si>
  <si>
    <t>Can a patient reach the API at all?</t>
  </si>
  <si>
    <t>Probe minutes in which the synthetic check succeeded</t>
  </si>
  <si>
    <t>All minutes in the window (43,200)</t>
  </si>
  <si>
    <t>Announced maintenance (none planned)</t>
  </si>
  <si>
    <t>probe returns 200 within 2 s</t>
  </si>
  <si>
    <t>1 - (bad_minutes / 43200)  (from blackbox probe: probe_success)</t>
  </si>
  <si>
    <t>Latency</t>
  </si>
  <si>
    <t>Booking/lookup feels fast</t>
  </si>
  <si>
    <t>Eligible /v1 requests completed in &lt; 300 ms (server-side)</t>
  </si>
  <si>
    <t>Operational endpoints</t>
  </si>
  <si>
    <t>duration &lt; 0.3 s</t>
  </si>
  <si>
    <t>sum(rate(healthqueue_http_request_duration_seconds_bucket{route=~"/v1/.*",le="0.3"}[30d])) / sum(rate(healthqueue_http_request_duration_seconds_count{route=~"/v1/.*"}[30d]))</t>
  </si>
  <si>
    <t>Successful valid submissions</t>
  </si>
  <si>
    <t>A patient books an appointment</t>
  </si>
  <si>
    <t>Valid POST /v1/appointments answered correctly: 201 created or 409 slot taken</t>
  </si>
  <si>
    <t>Valid booking attempts = created + conflict + server error</t>
  </si>
  <si>
    <t>422 validation rejections (client mistakes, not service failures)</t>
  </si>
  <si>
    <t>outcome in {created, conflict}</t>
  </si>
  <si>
    <t>sum(increase(healthqueue_appointment_submissions_total{outcome=~"created|conflict"}[30d])) / sum(increase(healthqueue_appointment_submissions_total{outcome=~"created|conflict|error"}[30d]))</t>
  </si>
  <si>
    <t>Why request-based AND time-based? Request-based budgets count failed requests (e.g. 1,036 allowed errors out of ~1.04 M requests). Time-based budgets count minutes of downtime (43.2 min per 30 days). They answer different questions and are never mixed: a request failure is NOT a minute of downtime.</t>
  </si>
  <si>
    <t>Daily SLI data - September 2026</t>
  </si>
  <si>
    <t>Generated by scripts/generate_slo_data.py (fixed seed).</t>
  </si>
  <si>
    <t>SYNTHETIC DATA - simulated for this assignment, NOT real HealthQueue production measurements.</t>
  </si>
  <si>
    <t>Date</t>
  </si>
  <si>
    <t>Eligible requests</t>
  </si>
  <si>
    <t>5xx errors</t>
  </si>
  <si>
    <t>Slow requests (&gt;=300 ms)</t>
  </si>
  <si>
    <t>Valid submissions</t>
  </si>
  <si>
    <t>Failed submissions</t>
  </si>
  <si>
    <t>Probe minutes</t>
  </si>
  <si>
    <t>Bad minutes</t>
  </si>
  <si>
    <t>Incident note</t>
  </si>
  <si>
    <t>Daily availability SLI</t>
  </si>
  <si>
    <t>Daily latency SLI</t>
  </si>
  <si>
    <t>Daily submission SLI</t>
  </si>
  <si>
    <t>Cumulative availability budget used</t>
  </si>
  <si>
    <t>Cumulative downtime budget used</t>
  </si>
  <si>
    <t>INC-201 PostgreSQL failover: 5xx burst for ~22 min</t>
  </si>
  <si>
    <t>INC-202 slow query after deploy: 6% of requests &gt;= 300 ms</t>
  </si>
  <si>
    <t>INC-203 bad config; rolled back via git revert in 9 min</t>
  </si>
  <si>
    <t>Total</t>
  </si>
  <si>
    <t>Error budget: allowed, consumed, remaining</t>
  </si>
  <si>
    <t>Budget = (1 - SLO) x eligible events. Status thresholds come from Window_Targets.</t>
  </si>
  <si>
    <t>Based on SYNTHETIC data (Synthetic_Daily). Not production measurements.</t>
  </si>
  <si>
    <t>Eligible (window)</t>
  </si>
  <si>
    <t>Bad events</t>
  </si>
  <si>
    <t>Observed SLI</t>
  </si>
  <si>
    <t>Allowed bad (budget)</t>
  </si>
  <si>
    <t>Budget consumed</t>
  </si>
  <si>
    <t>Consumed %</t>
  </si>
  <si>
    <t>Remaining %</t>
  </si>
  <si>
    <t>requests</t>
  </si>
  <si>
    <t>Latency (&lt; 300 ms)</t>
  </si>
  <si>
    <t>submissions</t>
  </si>
  <si>
    <t>minutes</t>
  </si>
  <si>
    <t>How to read this</t>
  </si>
  <si>
    <t>Example (availability, request-based): budget = eligible requests x (1 - 0.999). Consumed % = 5xx errors / budget. Remaining % = 1 - consumed %. The time-based row works the same way in MINUTES: 43,200 x 0.001 = 43.2 allowed bad minutes. Status: &gt;=50% remaining = HEALTHY, 25-50% = CAUTION, 0-25% = FREEZE risky releases, &lt;0 = EXHAUSTED.</t>
  </si>
  <si>
    <t>Observed: local load tests against the real API on kind</t>
  </si>
  <si>
    <t>Source: scripts/measure_slis.py -&gt; reports/slo/*.json. Counts are blue inputs; SLIs are formulas.</t>
  </si>
  <si>
    <t>OBSERVED on a laptop (3,000 synthetic requests, ~90 s). Real code, NOT production traffic, NOT a 30-day window.</t>
  </si>
  <si>
    <t>Measure</t>
  </si>
  <si>
    <t>v0.1.0 (connection per request)</t>
  </si>
  <si>
    <t>v0.1.1 (connection pool)</t>
  </si>
  <si>
    <t>Notes</t>
  </si>
  <si>
    <t>Eligible /v1 requests (server)</t>
  </si>
  <si>
    <t>Prometheus counter deltas summed across both API pods.</t>
  </si>
  <si>
    <t>5xx errors (server)</t>
  </si>
  <si>
    <t>Requests &lt;= 300 ms (server histogram)</t>
  </si>
  <si>
    <t>Timed requests (server histogram)</t>
  </si>
  <si>
    <t>Submissions created</t>
  </si>
  <si>
    <t>Submissions conflict (409)</t>
  </si>
  <si>
    <t>Submissions error (5xx)</t>
  </si>
  <si>
    <t>Submissions rejected (422, not eligible)</t>
  </si>
  <si>
    <t>Client p50 latency (ms)</t>
  </si>
  <si>
    <t>Measured by the load generator (includes network/NodePort).</t>
  </si>
  <si>
    <t>Client p95 latency (ms)</t>
  </si>
  <si>
    <t>Client p99 latency (ms)</t>
  </si>
  <si>
    <t>SLI (formula)</t>
  </si>
  <si>
    <t>v0.1.0</t>
  </si>
  <si>
    <t>v0.1.1</t>
  </si>
  <si>
    <t>Meets SLO?</t>
  </si>
  <si>
    <t>Availability SLI</t>
  </si>
  <si>
    <t>Latency SLI (&lt;= 300 ms)</t>
  </si>
  <si>
    <t>Submission SLI</t>
  </si>
  <si>
    <t>Finding: the first load test showed only ~85% of requests under 300 ms, so the latency SLO would have been violated. Root cause: a new PostgreSQL connection per request. Fix: a connection pool (v0.1.1), shipped through the full pipeline (Trivy, SBOM, Cosign) and deployed by a GitOps commit. Re-measured: 100% under 300 ms, p50 down from ~210 ms to ~64 ms. This is the observability loop working: measure -&gt; find -&gt; fix -&gt; verify.</t>
  </si>
  <si>
    <t>Error budget policy</t>
  </si>
  <si>
    <t>Agreed between product and engineering; reviewed monthly.</t>
  </si>
  <si>
    <t>State</t>
  </si>
  <si>
    <t>What the team does</t>
  </si>
  <si>
    <t>&gt;= 50%</t>
  </si>
  <si>
    <t>HEALTHY</t>
  </si>
  <si>
    <t>Ship normally. Planned risky work (migrations, dependency majors) is allowed.</t>
  </si>
  <si>
    <t>25% - 50%</t>
  </si>
  <si>
    <t>CAUTION</t>
  </si>
  <si>
    <t>Risky changes need a second reviewer + rollback plan; deploy in business hours only; prioritise the top reliability ticket in the next sprint.</t>
  </si>
  <si>
    <t>0% - 25%</t>
  </si>
  <si>
    <t>FREEZE risky releases</t>
  </si>
  <si>
    <t>Only low-risk changes, bug fixes and reliability work. Every deploy gets canary verification. Postmortem actions take priority over features.</t>
  </si>
  <si>
    <t>&lt; 0% (exhausted)</t>
  </si>
  <si>
    <t>EXHAUSTED - feature freeze</t>
  </si>
  <si>
    <t>Feature releases stop until the 30-day window recovers above 0%. Only fixes, security patches and reliability work ship. Escalate to CTO; incident review required.</t>
  </si>
  <si>
    <t>Fast-burn alert</t>
  </si>
  <si>
    <t>PAGE</t>
  </si>
  <si>
    <t>A 14.4x burn (2% of budget in 1 h) pages on-call immediately - see runbook.</t>
  </si>
  <si>
    <t>Exceptions: security fixes and changes that IMPROVE reliability may always ship. The policy applies per SLO: if only latency is in FREEZE, performance-risky changes pause, unrelated UI copy changes can still ship.</t>
  </si>
  <si>
    <t>What the numbers mean</t>
  </si>
  <si>
    <t>Text below is generated from live formulas where it quotes numbers.</t>
  </si>
  <si>
    <t>Interpretation: two incidents (INC-201 PostgreSQL failover, INC-203 bad config) consumed most of the availability budget. Under the policy the team should freeze risky releases, finish the INC-201 postmortem actions (connection pooling + DB failover testing) and add config validation to CI before resuming feature work.</t>
  </si>
  <si>
    <t>Why 99.9% and not 99.99%? 99.99% allows only 4.3 minutes of downtime per 30 days - unrealistic for a small startup team with one region and manual on-call. 99.9% (43.2 min) is a common starting point for a patient-facing booking API; tighten it once 3 months of real data exist.</t>
  </si>
  <si>
    <t>Limitation: all monthly figures are SYNTHETIC. The Observed_Local sheet is real measurement of the real code, but on a laptop for ~90 seconds - it shows the method works, not production reliability.</t>
  </si>
  <si>
    <t>Overall</t>
  </si>
  <si>
    <t>Check</t>
  </si>
  <si>
    <t>Workbook formula value</t>
  </si>
  <si>
    <t>Independent Python value</t>
  </si>
  <si>
    <t>Abs. difference</t>
  </si>
  <si>
    <t>Result</t>
  </si>
  <si>
    <t>Allowed downtime minutes (99.9%, 30 d) = 43.2</t>
  </si>
  <si>
    <t>Total eligible requests</t>
  </si>
  <si>
    <t>Total 5xx errors</t>
  </si>
  <si>
    <t>Availability SLI (request)</t>
  </si>
  <si>
    <t>Allowed failed requests</t>
  </si>
  <si>
    <t>Availability budget consumed %</t>
  </si>
  <si>
    <t>Availability budget remaining %</t>
  </si>
  <si>
    <t>Latency budget consumed %</t>
  </si>
  <si>
    <t>Submission budget consumed %</t>
  </si>
  <si>
    <t>Time-based minutes in window</t>
  </si>
  <si>
    <t>Downtime budget consumed %</t>
  </si>
  <si>
    <t>Cumulative availability budget at day 30</t>
  </si>
  <si>
    <t>Local latency SLI v0.1.0</t>
  </si>
  <si>
    <t>Local latency SLI v0.1.1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</si>
</sst>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yyyy\-mm\-dd"/>
    <numFmt numFmtId="167" formatCode="0.000%"/>
    <numFmt numFmtId="168" formatCode="#,##0.0"/>
    <numFmt numFmtId="169" formatCode="0.000000"/>
  </numFmts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0"/>
      <name val="Arial"/>
    </font>
    <font>
      <b/>
      <sz val="12"/>
      <color rgb="FF1F3864"/>
      <name val="Arial"/>
    </font>
    <font>
      <sz val="10"/>
      <color rgb="FF008000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4" fontId="8" fillId="0" borderId="1" xfId="0" applyNumberFormat="1" applyFont="1" applyBorder="1"/>
    <xf numFmtId="167" fontId="8" fillId="0" borderId="1" xfId="0" applyNumberFormat="1" applyFont="1" applyBorder="1"/>
    <xf numFmtId="0" fontId="6" fillId="0" borderId="0" xfId="0" applyFont="1"/>
    <xf numFmtId="165" fontId="8" fillId="0" borderId="0" xfId="0" applyNumberFormat="1" applyFont="1"/>
    <xf numFmtId="0" fontId="8" fillId="0" borderId="0" xfId="0" applyFont="1"/>
    <xf numFmtId="0" fontId="6" fillId="0" borderId="1" xfId="0" applyFont="1" applyBorder="1"/>
    <xf numFmtId="1" fontId="4" fillId="0" borderId="1" xfId="0" applyNumberFormat="1" applyFont="1" applyBorder="1"/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/>
    <xf numFmtId="164" fontId="4" fillId="0" borderId="1" xfId="0" applyNumberFormat="1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0" fontId="7" fillId="0" borderId="0" xfId="0" applyFont="1"/>
    <xf numFmtId="10" fontId="4" fillId="0" borderId="1" xfId="0" applyNumberFormat="1" applyFont="1" applyBorder="1"/>
    <xf numFmtId="9" fontId="4" fillId="0" borderId="0" xfId="0" applyNumberFormat="1" applyFont="1"/>
    <xf numFmtId="164" fontId="8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/>
    <xf numFmtId="3" fontId="4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0" fontId="5" fillId="0" borderId="1" xfId="0" applyNumberFormat="1" applyFont="1" applyBorder="1"/>
    <xf numFmtId="164" fontId="5" fillId="0" borderId="1" xfId="0" applyNumberFormat="1" applyFont="1" applyBorder="1"/>
    <xf numFmtId="3" fontId="6" fillId="0" borderId="0" xfId="0" applyNumberFormat="1" applyFont="1"/>
    <xf numFmtId="168" fontId="5" fillId="0" borderId="1" xfId="0" applyNumberFormat="1" applyFont="1" applyBorder="1"/>
    <xf numFmtId="168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9" fontId="5" fillId="0" borderId="1" xfId="0" applyNumberFormat="1" applyFont="1" applyBorder="1"/>
    <xf numFmtId="169" fontId="4" fillId="0" borderId="1" xfId="0" applyNumberFormat="1" applyFont="1" applyBorder="1"/>
    <xf numFmtId="0" fontId="9" fillId="3" borderId="0" xfId="0" applyFont="1" applyFill="1"/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26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Error budget remaining by SLI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Dashboard!$E$5</c:f>
              <c:strCache>
                <c:ptCount val="1"/>
                <c:pt idx="0">
                  <c:v>Budget remaining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Dashboard!$A$6:$A$9</c:f>
              <c:strCache>
                <c:ptCount val="4"/>
                <c:pt idx="0">
                  <c:v>Availability (request-based)</c:v>
                </c:pt>
                <c:pt idx="1">
                  <c:v>Latency (&lt; 300 ms)</c:v>
                </c:pt>
                <c:pt idx="2">
                  <c:v>Successful valid submissions</c:v>
                </c:pt>
                <c:pt idx="3">
                  <c:v>Availability (time-based)</c:v>
                </c:pt>
              </c:strCache>
            </c:strRef>
          </c:cat>
          <c:val>
            <c:numRef>
              <c:f>Dashboard!$E$6:$E$9</c:f>
              <c:numCache>
                <c:formatCode>0.0%</c:formatCode>
                <c:ptCount val="4"/>
                <c:pt idx="0">
                  <c:v>8.1490686585712568E-2</c:v>
                </c:pt>
                <c:pt idx="1">
                  <c:v>0.5100640447985556</c:v>
                </c:pt>
                <c:pt idx="2">
                  <c:v>0.39221455790844678</c:v>
                </c:pt>
                <c:pt idx="3">
                  <c:v>0.28240740740740805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9-4AF3-9439-24641356DC75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Cumulative budget consumed through the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Synthetic_Daily!$M$5</c:f>
              <c:strCache>
                <c:ptCount val="1"/>
                <c:pt idx="0">
                  <c:v>Cumulative availability budget used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Synthetic_Daily!$A$6:$A$35</c:f>
              <c:numCache>
                <c:formatCode>yyyy\-mm\-dd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Synthetic_Daily!$M$6:$M$35</c:f>
              <c:numCache>
                <c:formatCode>0.0%</c:formatCode>
                <c:ptCount val="30"/>
                <c:pt idx="0">
                  <c:v>1.2542669195783337E-2</c:v>
                </c:pt>
                <c:pt idx="1">
                  <c:v>2.7014979806302571E-2</c:v>
                </c:pt>
                <c:pt idx="2">
                  <c:v>3.8592828294717961E-2</c:v>
                </c:pt>
                <c:pt idx="3">
                  <c:v>5.1135497490501294E-2</c:v>
                </c:pt>
                <c:pt idx="4">
                  <c:v>5.499478031997309E-2</c:v>
                </c:pt>
                <c:pt idx="5">
                  <c:v>5.7889242442076938E-2</c:v>
                </c:pt>
                <c:pt idx="6">
                  <c:v>7.0431911637860278E-2</c:v>
                </c:pt>
                <c:pt idx="7">
                  <c:v>8.0080118711539763E-2</c:v>
                </c:pt>
                <c:pt idx="8">
                  <c:v>8.7798684370483354E-2</c:v>
                </c:pt>
                <c:pt idx="9">
                  <c:v>0.10420063639573848</c:v>
                </c:pt>
                <c:pt idx="10">
                  <c:v>0.11384884346941798</c:v>
                </c:pt>
                <c:pt idx="11">
                  <c:v>0.55187744461446686</c:v>
                </c:pt>
                <c:pt idx="12">
                  <c:v>0.55477190673657062</c:v>
                </c:pt>
                <c:pt idx="13">
                  <c:v>0.57020903805445788</c:v>
                </c:pt>
                <c:pt idx="14">
                  <c:v>0.58082206583550533</c:v>
                </c:pt>
                <c:pt idx="15">
                  <c:v>0.5923999143239207</c:v>
                </c:pt>
                <c:pt idx="16">
                  <c:v>0.60590740422707201</c:v>
                </c:pt>
                <c:pt idx="17">
                  <c:v>0.62037971483759125</c:v>
                </c:pt>
                <c:pt idx="18">
                  <c:v>0.62423899766706303</c:v>
                </c:pt>
                <c:pt idx="19">
                  <c:v>0.62809828049653482</c:v>
                </c:pt>
                <c:pt idx="20">
                  <c:v>0.64160577039968603</c:v>
                </c:pt>
                <c:pt idx="21">
                  <c:v>0.65028915676599763</c:v>
                </c:pt>
                <c:pt idx="22">
                  <c:v>0.66283182596178092</c:v>
                </c:pt>
                <c:pt idx="23">
                  <c:v>0.67633931586493223</c:v>
                </c:pt>
                <c:pt idx="24">
                  <c:v>0.87895166441220152</c:v>
                </c:pt>
                <c:pt idx="25">
                  <c:v>0.88570540936377717</c:v>
                </c:pt>
                <c:pt idx="26">
                  <c:v>0.88859987148588104</c:v>
                </c:pt>
                <c:pt idx="27">
                  <c:v>0.90017771997429641</c:v>
                </c:pt>
                <c:pt idx="28">
                  <c:v>0.90982592704797594</c:v>
                </c:pt>
                <c:pt idx="29">
                  <c:v>0.91850931341428743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A-4C71-8004-F3884827FC62}"/>
            </c:ext>
          </c:extLst>
        </c:ser>
        <c:ser>
          <c:idx val="1"/>
          <c:order val="1"/>
          <c:tx>
            <c:strRef>
              <c:f>Synthetic_Daily!$N$5</c:f>
              <c:strCache>
                <c:ptCount val="1"/>
                <c:pt idx="0">
                  <c:v>Cumulative downtime budget used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Synthetic_Daily!$A$6:$A$35</c:f>
              <c:numCache>
                <c:formatCode>yyyy\-mm\-dd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Synthetic_Daily!$N$6:$N$35</c:f>
              <c:numCache>
                <c:formatCode>0.0%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0.50925925925925886</c:v>
                </c:pt>
                <c:pt idx="12">
                  <c:v>0.50925925925925886</c:v>
                </c:pt>
                <c:pt idx="13">
                  <c:v>0.50925925925925886</c:v>
                </c:pt>
                <c:pt idx="14">
                  <c:v>0.50925925925925886</c:v>
                </c:pt>
                <c:pt idx="15">
                  <c:v>0.50925925925925886</c:v>
                </c:pt>
                <c:pt idx="16">
                  <c:v>0.50925925925925886</c:v>
                </c:pt>
                <c:pt idx="17">
                  <c:v>0.50925925925925886</c:v>
                </c:pt>
                <c:pt idx="18">
                  <c:v>0.50925925925925886</c:v>
                </c:pt>
                <c:pt idx="19">
                  <c:v>0.50925925925925886</c:v>
                </c:pt>
                <c:pt idx="20">
                  <c:v>0.50925925925925886</c:v>
                </c:pt>
                <c:pt idx="21">
                  <c:v>0.50925925925925886</c:v>
                </c:pt>
                <c:pt idx="22">
                  <c:v>0.50925925925925886</c:v>
                </c:pt>
                <c:pt idx="23">
                  <c:v>0.50925925925925886</c:v>
                </c:pt>
                <c:pt idx="24">
                  <c:v>0.717592592592592</c:v>
                </c:pt>
                <c:pt idx="25">
                  <c:v>0.717592592592592</c:v>
                </c:pt>
                <c:pt idx="26">
                  <c:v>0.717592592592592</c:v>
                </c:pt>
                <c:pt idx="27">
                  <c:v>0.717592592592592</c:v>
                </c:pt>
                <c:pt idx="28">
                  <c:v>0.717592592592592</c:v>
                </c:pt>
                <c:pt idx="29">
                  <c:v>0.717592592592592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A-4C71-8004-F3884827F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d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Daily availability SLI vs 99.9% target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Synthetic_Daily!$J$5</c:f>
              <c:strCache>
                <c:ptCount val="1"/>
                <c:pt idx="0">
                  <c:v>Daily availability SLI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Synthetic_Daily!$A$6:$A$35</c:f>
              <c:numCache>
                <c:formatCode>yyyy\-mm\-dd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Synthetic_Daily!$J$6:$J$35</c:f>
              <c:numCache>
                <c:formatCode>0.000%</c:formatCode>
                <c:ptCount val="30"/>
                <c:pt idx="0">
                  <c:v>0.99969118939591894</c:v>
                </c:pt>
                <c:pt idx="1">
                  <c:v>0.99964034814299763</c:v>
                </c:pt>
                <c:pt idx="2">
                  <c:v>0.99971001884877486</c:v>
                </c:pt>
                <c:pt idx="3">
                  <c:v>0.99969739996741236</c:v>
                </c:pt>
                <c:pt idx="4">
                  <c:v>0.9996828165886924</c:v>
                </c:pt>
                <c:pt idx="5">
                  <c:v>0.99981533916040877</c:v>
                </c:pt>
                <c:pt idx="6">
                  <c:v>0.999666658119439</c:v>
                </c:pt>
                <c:pt idx="7">
                  <c:v>0.99976752836153993</c:v>
                </c:pt>
                <c:pt idx="8">
                  <c:v>0.99979212140110174</c:v>
                </c:pt>
                <c:pt idx="9">
                  <c:v>0.9996049176137024</c:v>
                </c:pt>
                <c:pt idx="10">
                  <c:v>0.99974788221056876</c:v>
                </c:pt>
                <c:pt idx="11">
                  <c:v>0.96509840098400979</c:v>
                </c:pt>
                <c:pt idx="12">
                  <c:v>0.99979973297730307</c:v>
                </c:pt>
                <c:pt idx="13">
                  <c:v>0.99964529573468119</c:v>
                </c:pt>
                <c:pt idx="14">
                  <c:v>0.99973170731707317</c:v>
                </c:pt>
                <c:pt idx="15">
                  <c:v>0.99972695003185585</c:v>
                </c:pt>
                <c:pt idx="16">
                  <c:v>0.99964960580653239</c:v>
                </c:pt>
                <c:pt idx="17">
                  <c:v>0.99963573666189076</c:v>
                </c:pt>
                <c:pt idx="18">
                  <c:v>0.99972636475578058</c:v>
                </c:pt>
                <c:pt idx="19">
                  <c:v>0.99974396722780512</c:v>
                </c:pt>
                <c:pt idx="20">
                  <c:v>0.99965284665740928</c:v>
                </c:pt>
                <c:pt idx="21">
                  <c:v>0.99978792591545318</c:v>
                </c:pt>
                <c:pt idx="22">
                  <c:v>0.99969649569257346</c:v>
                </c:pt>
                <c:pt idx="23">
                  <c:v>0.99966021891609835</c:v>
                </c:pt>
                <c:pt idx="24">
                  <c:v>0.99504903809883061</c:v>
                </c:pt>
                <c:pt idx="25">
                  <c:v>0.9995960528593687</c:v>
                </c:pt>
                <c:pt idx="26">
                  <c:v>0.99978451371929322</c:v>
                </c:pt>
                <c:pt idx="27">
                  <c:v>0.99970888624730114</c:v>
                </c:pt>
                <c:pt idx="28">
                  <c:v>0.99977197582943789</c:v>
                </c:pt>
                <c:pt idx="29">
                  <c:v>0.99978209287685826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8-4A2A-AB1C-E8E8C3596249}"/>
            </c:ext>
          </c:extLst>
        </c:ser>
        <c:ser>
          <c:idx val="1"/>
          <c:order val="1"/>
          <c:tx>
            <c:strRef>
              <c:f>Synthetic_Daily!$O$5</c:f>
              <c:strCache>
                <c:ptCount val="1"/>
                <c:pt idx="0">
                  <c:v>Availability target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Synthetic_Daily!$A$6:$A$35</c:f>
              <c:numCache>
                <c:formatCode>yyyy\-mm\-dd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Synthetic_Daily!$O$6:$O$35</c:f>
              <c:numCache>
                <c:formatCode>0.0%</c:formatCode>
                <c:ptCount val="30"/>
                <c:pt idx="0">
                  <c:v>0.999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0.999</c:v>
                </c:pt>
                <c:pt idx="11">
                  <c:v>0.999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0.999</c:v>
                </c:pt>
                <c:pt idx="21">
                  <c:v>0.999</c:v>
                </c:pt>
                <c:pt idx="22">
                  <c:v>0.999</c:v>
                </c:pt>
                <c:pt idx="23">
                  <c:v>0.999</c:v>
                </c:pt>
                <c:pt idx="24">
                  <c:v>0.999</c:v>
                </c:pt>
                <c:pt idx="25">
                  <c:v>0.999</c:v>
                </c:pt>
                <c:pt idx="26">
                  <c:v>0.999</c:v>
                </c:pt>
                <c:pt idx="27">
                  <c:v>0.999</c:v>
                </c:pt>
                <c:pt idx="28">
                  <c:v>0.999</c:v>
                </c:pt>
                <c:pt idx="29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8-4A2A-AB1C-E8E8C359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d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"/>
          <c:min val="0.98499999999999999"/>
        </c:scaling>
        <c:delete val="0"/>
        <c:axPos val="l"/>
        <c:majorGridlines/>
        <c:numFmt formatCode="0.0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57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57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/>
  </sheetViews>
  <sheetFormatPr defaultRowHeight="14.4" x14ac:dyDescent="0.3"/>
  <cols>
    <col min="1" max="1" width="34" customWidth="1"/>
    <col min="2" max="2" width="9" customWidth="1"/>
    <col min="3" max="3" width="12" customWidth="1"/>
    <col min="4" max="4" width="13" customWidth="1"/>
    <col min="5" max="5" width="18" customWidth="1"/>
    <col min="6" max="6" width="28" customWidth="1"/>
    <col min="7" max="7" width="12" customWidth="1"/>
  </cols>
  <sheetData>
    <row r="1" spans="1:7" ht="21" x14ac:dyDescent="0.4">
      <c r="A1" s="1" t="s">
        <v>0</v>
      </c>
    </row>
    <row r="2" spans="1:7" x14ac:dyDescent="0.3">
      <c r="A2" s="2" t="s">
        <v>1</v>
      </c>
    </row>
    <row r="3" spans="1:7" x14ac:dyDescent="0.3">
      <c r="A3" s="36" t="s">
        <v>2</v>
      </c>
      <c r="B3" s="37"/>
      <c r="C3" s="37"/>
      <c r="D3" s="37"/>
      <c r="E3" s="37"/>
      <c r="F3" s="37"/>
      <c r="G3" s="37"/>
    </row>
    <row r="5" spans="1:7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3">
      <c r="A6" s="4" t="str">
        <f>Error_Budget!A6</f>
        <v>Availability (request-based)</v>
      </c>
      <c r="B6" s="5">
        <f>Error_Budget!B6</f>
        <v>0.999</v>
      </c>
      <c r="C6" s="6">
        <f>Error_Budget!E6</f>
        <v>0.99908149068658569</v>
      </c>
      <c r="D6" s="5">
        <f>Error_Budget!H6</f>
        <v>0.91850931341428743</v>
      </c>
      <c r="E6" s="5">
        <f>Error_Budget!J6</f>
        <v>8.1490686585712568E-2</v>
      </c>
      <c r="F6" s="4" t="str">
        <f>Error_Budget!K6</f>
        <v>FREEZE risky releases</v>
      </c>
      <c r="G6" s="4" t="str">
        <f>Error_Budget!L6</f>
        <v>requests</v>
      </c>
    </row>
    <row r="7" spans="1:7" x14ac:dyDescent="0.3">
      <c r="A7" s="4" t="str">
        <f>Error_Budget!A7</f>
        <v>Latency (&lt; 300 ms)</v>
      </c>
      <c r="B7" s="5">
        <f>Error_Budget!B7</f>
        <v>0.99</v>
      </c>
      <c r="C7" s="6">
        <f>Error_Budget!E7</f>
        <v>0.99510064044798552</v>
      </c>
      <c r="D7" s="5">
        <f>Error_Budget!H7</f>
        <v>0.48993595520144445</v>
      </c>
      <c r="E7" s="5">
        <f>Error_Budget!J7</f>
        <v>0.5100640447985556</v>
      </c>
      <c r="F7" s="4" t="str">
        <f>Error_Budget!K7</f>
        <v>HEALTHY</v>
      </c>
      <c r="G7" s="4" t="str">
        <f>Error_Budget!L7</f>
        <v>requests</v>
      </c>
    </row>
    <row r="8" spans="1:7" x14ac:dyDescent="0.3">
      <c r="A8" s="4" t="str">
        <f>Error_Budget!A8</f>
        <v>Successful valid submissions</v>
      </c>
      <c r="B8" s="5">
        <f>Error_Budget!B8</f>
        <v>0.995</v>
      </c>
      <c r="C8" s="6">
        <f>Error_Budget!E8</f>
        <v>0.99696107278954227</v>
      </c>
      <c r="D8" s="5">
        <f>Error_Budget!H8</f>
        <v>0.60778544209155316</v>
      </c>
      <c r="E8" s="5">
        <f>Error_Budget!J8</f>
        <v>0.39221455790844678</v>
      </c>
      <c r="F8" s="4" t="str">
        <f>Error_Budget!K8</f>
        <v>CAUTION - extra review</v>
      </c>
      <c r="G8" s="4" t="str">
        <f>Error_Budget!L8</f>
        <v>submissions</v>
      </c>
    </row>
    <row r="9" spans="1:7" x14ac:dyDescent="0.3">
      <c r="A9" s="4" t="str">
        <f>Error_Budget!A9</f>
        <v>Availability (time-based)</v>
      </c>
      <c r="B9" s="5">
        <f>Error_Budget!B9</f>
        <v>0.999</v>
      </c>
      <c r="C9" s="6">
        <f>Error_Budget!E9</f>
        <v>0.99928240740740737</v>
      </c>
      <c r="D9" s="5">
        <f>Error_Budget!H9</f>
        <v>0.717592592592592</v>
      </c>
      <c r="E9" s="5">
        <f>Error_Budget!J9</f>
        <v>0.28240740740740805</v>
      </c>
      <c r="F9" s="4" t="str">
        <f>Error_Budget!K9</f>
        <v>CAUTION - extra review</v>
      </c>
      <c r="G9" s="4" t="str">
        <f>Error_Budget!L9</f>
        <v>minutes</v>
      </c>
    </row>
    <row r="11" spans="1:7" x14ac:dyDescent="0.3">
      <c r="A11" s="7" t="s">
        <v>10</v>
      </c>
      <c r="E11" s="8">
        <f>Window_Targets!B10</f>
        <v>43.200000000000038</v>
      </c>
    </row>
    <row r="12" spans="1:7" x14ac:dyDescent="0.3">
      <c r="A12" s="7" t="s">
        <v>11</v>
      </c>
      <c r="E12" s="9" t="str">
        <f>Checks!B3</f>
        <v>ALL CHECKS PASS</v>
      </c>
    </row>
  </sheetData>
  <mergeCells count="1">
    <mergeCell ref="A3:G3"/>
  </mergeCells>
  <conditionalFormatting sqref="E12">
    <cfRule type="expression" dxfId="22" priority="7">
      <formula>E12="ALL CHECKS PASS"</formula>
    </cfRule>
    <cfRule type="expression" dxfId="21" priority="8">
      <formula>E12&lt;&gt;"ALL CHECKS PASS"</formula>
    </cfRule>
  </conditionalFormatting>
  <conditionalFormatting sqref="F6:F9">
    <cfRule type="expression" dxfId="20" priority="4">
      <formula>LEFT(F6,7)="HEALTHY"</formula>
    </cfRule>
    <cfRule type="expression" dxfId="19" priority="5">
      <formula>LEFT(F6,7)="CAUTION"</formula>
    </cfRule>
    <cfRule type="expression" dxfId="18" priority="6">
      <formula>OR(LEFT(F6,6)="FREEZE",LEFT(F6,9)="EXHAUSTED")</formula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lessThan" id="{00000000-000E-0000-0000-000001000000}">
            <xm:f>Window_Targets!$B$21</xm:f>
            <x14:dxf>
              <fill>
                <patternFill patternType="solid">
                  <fgColor rgb="FFFFC7CE"/>
                </patternFill>
              </fill>
            </x14:dxf>
          </x14:cfRule>
          <x14:cfRule type="cellIs" priority="2" stopIfTrue="1" operator="lessThan" id="{00000000-000E-0000-0000-000002000000}">
            <xm:f>Window_Targets!$B$20</xm:f>
            <x14:dxf>
              <fill>
                <patternFill patternType="solid">
                  <fgColor rgb="FFFFEB9C"/>
                </patternFill>
              </fill>
            </x14:dxf>
          </x14:cfRule>
          <x14:cfRule type="cellIs" priority="3" stopIfTrue="1" operator="greaterThanOrEqual" id="{00000000-000E-0000-0000-000003000000}">
            <xm:f>Window_Targets!$B$20</xm:f>
            <x14:dxf>
              <fill>
                <patternFill patternType="solid">
                  <fgColor rgb="FFC6EFCE"/>
                </patternFill>
              </fill>
            </x14:dxf>
          </x14:cfRule>
          <xm:sqref>E6:E9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workbookViewId="0"/>
  </sheetViews>
  <sheetFormatPr defaultRowHeight="14.4" x14ac:dyDescent="0.3"/>
  <cols>
    <col min="1" max="1" width="52" customWidth="1"/>
    <col min="2" max="2" width="22" customWidth="1"/>
    <col min="3" max="3" width="90" customWidth="1"/>
  </cols>
  <sheetData>
    <row r="1" spans="1:3" ht="21" x14ac:dyDescent="0.4">
      <c r="A1" s="1" t="s">
        <v>12</v>
      </c>
    </row>
    <row r="2" spans="1:3" x14ac:dyDescent="0.3">
      <c r="A2" s="2" t="s">
        <v>13</v>
      </c>
    </row>
    <row r="3" spans="1:3" x14ac:dyDescent="0.3">
      <c r="A3" s="3" t="s">
        <v>14</v>
      </c>
      <c r="B3" s="3" t="s">
        <v>15</v>
      </c>
      <c r="C3" s="3" t="s">
        <v>16</v>
      </c>
    </row>
    <row r="4" spans="1:3" x14ac:dyDescent="0.3">
      <c r="A4" s="10" t="s">
        <v>17</v>
      </c>
      <c r="B4" s="11">
        <v>30</v>
      </c>
      <c r="C4" s="12" t="s">
        <v>18</v>
      </c>
    </row>
    <row r="5" spans="1:3" x14ac:dyDescent="0.3">
      <c r="A5" s="10" t="s">
        <v>19</v>
      </c>
      <c r="B5" s="13">
        <f>B4*24*60</f>
        <v>43200</v>
      </c>
      <c r="C5" s="12" t="s">
        <v>20</v>
      </c>
    </row>
    <row r="6" spans="1:3" x14ac:dyDescent="0.3">
      <c r="A6" s="10" t="s">
        <v>21</v>
      </c>
      <c r="B6" s="14">
        <v>0.999</v>
      </c>
      <c r="C6" s="12" t="s">
        <v>22</v>
      </c>
    </row>
    <row r="7" spans="1:3" x14ac:dyDescent="0.3">
      <c r="A7" s="10" t="s">
        <v>23</v>
      </c>
      <c r="B7" s="14">
        <v>0.99</v>
      </c>
      <c r="C7" s="12" t="s">
        <v>24</v>
      </c>
    </row>
    <row r="8" spans="1:3" x14ac:dyDescent="0.3">
      <c r="A8" s="10" t="s">
        <v>25</v>
      </c>
      <c r="B8" s="11">
        <v>300</v>
      </c>
      <c r="C8" s="12" t="s">
        <v>26</v>
      </c>
    </row>
    <row r="9" spans="1:3" x14ac:dyDescent="0.3">
      <c r="A9" s="10" t="s">
        <v>27</v>
      </c>
      <c r="B9" s="14">
        <v>0.995</v>
      </c>
      <c r="C9" s="12" t="s">
        <v>28</v>
      </c>
    </row>
    <row r="10" spans="1:3" x14ac:dyDescent="0.3">
      <c r="A10" s="10" t="s">
        <v>29</v>
      </c>
      <c r="B10" s="15">
        <f>B5*(1-B6)</f>
        <v>43.200000000000038</v>
      </c>
      <c r="C10" s="12" t="s">
        <v>30</v>
      </c>
    </row>
    <row r="11" spans="1:3" x14ac:dyDescent="0.3">
      <c r="A11" s="10" t="s">
        <v>31</v>
      </c>
      <c r="B11" s="16">
        <f>B10/60</f>
        <v>0.72000000000000064</v>
      </c>
      <c r="C11" s="12" t="s">
        <v>32</v>
      </c>
    </row>
    <row r="13" spans="1:3" ht="15.6" x14ac:dyDescent="0.3">
      <c r="A13" s="17" t="s">
        <v>33</v>
      </c>
    </row>
    <row r="14" spans="1:3" ht="26.4" x14ac:dyDescent="0.3">
      <c r="A14" s="3" t="s">
        <v>34</v>
      </c>
      <c r="B14" s="3" t="s">
        <v>35</v>
      </c>
      <c r="C14" s="3" t="s">
        <v>36</v>
      </c>
    </row>
    <row r="15" spans="1:3" x14ac:dyDescent="0.3">
      <c r="A15" s="18">
        <v>0.99</v>
      </c>
      <c r="B15" s="15">
        <f>$B$5*(1-A15)</f>
        <v>432.0000000000004</v>
      </c>
      <c r="C15" s="15">
        <f>7*24*60*(1-A15)</f>
        <v>100.8000000000001</v>
      </c>
    </row>
    <row r="16" spans="1:3" x14ac:dyDescent="0.3">
      <c r="A16" s="18">
        <v>0.995</v>
      </c>
      <c r="B16" s="15">
        <f>$B$5*(1-A16)</f>
        <v>216.0000000000002</v>
      </c>
      <c r="C16" s="15">
        <f>7*24*60*(1-A16)</f>
        <v>50.400000000000048</v>
      </c>
    </row>
    <row r="17" spans="1:3" x14ac:dyDescent="0.3">
      <c r="A17" s="18">
        <v>0.999</v>
      </c>
      <c r="B17" s="15">
        <f>$B$5*(1-A17)</f>
        <v>43.200000000000038</v>
      </c>
      <c r="C17" s="15">
        <f>7*24*60*(1-A17)</f>
        <v>10.080000000000009</v>
      </c>
    </row>
    <row r="18" spans="1:3" x14ac:dyDescent="0.3">
      <c r="A18" s="18">
        <v>0.99950000000000006</v>
      </c>
      <c r="B18" s="15">
        <f>$B$5*(1-A18)</f>
        <v>21.599999999997621</v>
      </c>
      <c r="C18" s="15">
        <f>7*24*60*(1-A18)</f>
        <v>5.0399999999994449</v>
      </c>
    </row>
    <row r="19" spans="1:3" x14ac:dyDescent="0.3">
      <c r="A19" s="18">
        <v>0.99990000000000001</v>
      </c>
      <c r="B19" s="15">
        <f>$B$5*(1-A19)</f>
        <v>4.3199999999995242</v>
      </c>
      <c r="C19" s="15">
        <f>7*24*60*(1-A19)</f>
        <v>1.007999999999889</v>
      </c>
    </row>
    <row r="20" spans="1:3" x14ac:dyDescent="0.3">
      <c r="A20" s="7" t="s">
        <v>37</v>
      </c>
      <c r="B20" s="19">
        <v>0.5</v>
      </c>
      <c r="C20" t="s">
        <v>38</v>
      </c>
    </row>
    <row r="21" spans="1:3" x14ac:dyDescent="0.3">
      <c r="A21" s="7" t="s">
        <v>39</v>
      </c>
      <c r="B21" s="19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/>
  </sheetViews>
  <sheetFormatPr defaultRowHeight="14.4" x14ac:dyDescent="0.3"/>
  <cols>
    <col min="1" max="1" width="24" customWidth="1"/>
    <col min="2" max="2" width="22" customWidth="1"/>
    <col min="3" max="3" width="30" customWidth="1"/>
    <col min="4" max="4" width="26" customWidth="1"/>
    <col min="5" max="5" width="32" customWidth="1"/>
    <col min="6" max="6" width="12" customWidth="1"/>
    <col min="7" max="7" width="18" customWidth="1"/>
    <col min="8" max="8" width="10" customWidth="1"/>
    <col min="9" max="9" width="70" customWidth="1"/>
  </cols>
  <sheetData>
    <row r="1" spans="1:9" ht="21" x14ac:dyDescent="0.4">
      <c r="A1" s="1" t="s">
        <v>40</v>
      </c>
    </row>
    <row r="2" spans="1:9" x14ac:dyDescent="0.3">
      <c r="A2" s="2" t="s">
        <v>41</v>
      </c>
    </row>
    <row r="4" spans="1:9" ht="26.4" x14ac:dyDescent="0.3">
      <c r="A4" s="3" t="s">
        <v>3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</row>
    <row r="5" spans="1:9" ht="75" customHeight="1" x14ac:dyDescent="0.3">
      <c r="A5" s="12" t="s">
        <v>50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55</v>
      </c>
      <c r="G5" s="12" t="s">
        <v>56</v>
      </c>
      <c r="H5" s="20">
        <f>Window_Targets!B6</f>
        <v>0.999</v>
      </c>
      <c r="I5" s="12" t="s">
        <v>57</v>
      </c>
    </row>
    <row r="6" spans="1:9" ht="75" customHeight="1" x14ac:dyDescent="0.3">
      <c r="A6" s="12" t="s">
        <v>58</v>
      </c>
      <c r="B6" s="12" t="s">
        <v>59</v>
      </c>
      <c r="C6" s="12" t="s">
        <v>60</v>
      </c>
      <c r="D6" s="12" t="s">
        <v>61</v>
      </c>
      <c r="E6" s="12" t="s">
        <v>62</v>
      </c>
      <c r="F6" s="12" t="s">
        <v>55</v>
      </c>
      <c r="G6" s="12" t="s">
        <v>63</v>
      </c>
      <c r="H6" s="20">
        <f>Window_Targets!B6</f>
        <v>0.999</v>
      </c>
      <c r="I6" s="12" t="s">
        <v>64</v>
      </c>
    </row>
    <row r="7" spans="1:9" ht="75" customHeight="1" x14ac:dyDescent="0.3">
      <c r="A7" s="12" t="s">
        <v>65</v>
      </c>
      <c r="B7" s="12" t="s">
        <v>66</v>
      </c>
      <c r="C7" s="12" t="s">
        <v>67</v>
      </c>
      <c r="D7" s="12" t="s">
        <v>53</v>
      </c>
      <c r="E7" s="12" t="s">
        <v>68</v>
      </c>
      <c r="F7" s="12" t="s">
        <v>55</v>
      </c>
      <c r="G7" s="12" t="s">
        <v>69</v>
      </c>
      <c r="H7" s="20">
        <f>Window_Targets!B7</f>
        <v>0.99</v>
      </c>
      <c r="I7" s="12" t="s">
        <v>70</v>
      </c>
    </row>
    <row r="8" spans="1:9" ht="75" customHeight="1" x14ac:dyDescent="0.3">
      <c r="A8" s="12" t="s">
        <v>71</v>
      </c>
      <c r="B8" s="12" t="s">
        <v>72</v>
      </c>
      <c r="C8" s="12" t="s">
        <v>73</v>
      </c>
      <c r="D8" s="12" t="s">
        <v>74</v>
      </c>
      <c r="E8" s="12" t="s">
        <v>75</v>
      </c>
      <c r="F8" s="12" t="s">
        <v>55</v>
      </c>
      <c r="G8" s="12" t="s">
        <v>76</v>
      </c>
      <c r="H8" s="20">
        <f>Window_Targets!B9</f>
        <v>0.995</v>
      </c>
      <c r="I8" s="12" t="s">
        <v>77</v>
      </c>
    </row>
    <row r="10" spans="1:9" ht="45" customHeight="1" x14ac:dyDescent="0.3">
      <c r="A10" s="38" t="s">
        <v>78</v>
      </c>
      <c r="B10" s="37"/>
      <c r="C10" s="37"/>
      <c r="D10" s="37"/>
      <c r="E10" s="37"/>
      <c r="F10" s="37"/>
      <c r="G10" s="37"/>
      <c r="H10" s="37"/>
      <c r="I10" s="37"/>
    </row>
  </sheetData>
  <mergeCells count="1"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2" customWidth="1"/>
    <col min="3" max="3" width="10" customWidth="1"/>
    <col min="4" max="4" width="14" customWidth="1"/>
    <col min="5" max="6" width="12" customWidth="1"/>
    <col min="7" max="8" width="10" customWidth="1"/>
    <col min="9" max="9" width="46" customWidth="1"/>
    <col min="10" max="12" width="12" customWidth="1"/>
    <col min="13" max="14" width="14" customWidth="1"/>
    <col min="15" max="15" width="12" customWidth="1"/>
  </cols>
  <sheetData>
    <row r="1" spans="1:15" ht="21" x14ac:dyDescent="0.4">
      <c r="A1" s="1" t="s">
        <v>79</v>
      </c>
    </row>
    <row r="2" spans="1:15" x14ac:dyDescent="0.3">
      <c r="A2" s="2" t="s">
        <v>80</v>
      </c>
    </row>
    <row r="3" spans="1:15" x14ac:dyDescent="0.3">
      <c r="A3" s="36" t="s">
        <v>81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5" spans="1:15" ht="39.6" x14ac:dyDescent="0.3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89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34</v>
      </c>
    </row>
    <row r="6" spans="1:15" x14ac:dyDescent="0.3">
      <c r="A6" s="21">
        <v>46266</v>
      </c>
      <c r="B6" s="22">
        <v>42097</v>
      </c>
      <c r="C6" s="22">
        <v>13</v>
      </c>
      <c r="D6" s="22">
        <v>183</v>
      </c>
      <c r="E6" s="22">
        <v>2445</v>
      </c>
      <c r="F6" s="22">
        <v>1</v>
      </c>
      <c r="G6" s="22">
        <v>1440</v>
      </c>
      <c r="H6" s="22">
        <v>0</v>
      </c>
      <c r="I6" s="23"/>
      <c r="J6" s="24">
        <f t="shared" ref="J6:J35" si="0">1-C6/B6</f>
        <v>0.99969118939591894</v>
      </c>
      <c r="K6" s="25">
        <f t="shared" ref="K6:K35" si="1">1-D6/B6</f>
        <v>0.99565289688101288</v>
      </c>
      <c r="L6" s="24">
        <f t="shared" ref="L6:L35" si="2">1-F6/E6</f>
        <v>0.99959100204498974</v>
      </c>
      <c r="M6" s="26">
        <f>SUM($C$6:C6)/Error_Budget!$F$6</f>
        <v>1.2542669195783337E-2</v>
      </c>
      <c r="N6" s="26">
        <f>SUM($H$6:H6)/Error_Budget!$F$9</f>
        <v>0</v>
      </c>
      <c r="O6" s="26">
        <f>Window_Targets!$B$6</f>
        <v>0.999</v>
      </c>
    </row>
    <row r="7" spans="1:15" x14ac:dyDescent="0.3">
      <c r="A7" s="21">
        <v>46267</v>
      </c>
      <c r="B7" s="22">
        <v>41707</v>
      </c>
      <c r="C7" s="22">
        <v>15</v>
      </c>
      <c r="D7" s="22">
        <v>195</v>
      </c>
      <c r="E7" s="22">
        <v>2433</v>
      </c>
      <c r="F7" s="22">
        <v>1</v>
      </c>
      <c r="G7" s="22">
        <v>1440</v>
      </c>
      <c r="H7" s="22">
        <v>0</v>
      </c>
      <c r="I7" s="23"/>
      <c r="J7" s="24">
        <f t="shared" si="0"/>
        <v>0.99964034814299763</v>
      </c>
      <c r="K7" s="25">
        <f t="shared" si="1"/>
        <v>0.99532452585896847</v>
      </c>
      <c r="L7" s="24">
        <f t="shared" si="2"/>
        <v>0.9995889847924373</v>
      </c>
      <c r="M7" s="26">
        <f>SUM($C$6:C7)/Error_Budget!$F$6</f>
        <v>2.7014979806302571E-2</v>
      </c>
      <c r="N7" s="26">
        <f>SUM($H$6:H7)/Error_Budget!$F$9</f>
        <v>0</v>
      </c>
      <c r="O7" s="26">
        <f>Window_Targets!$B$6</f>
        <v>0.999</v>
      </c>
    </row>
    <row r="8" spans="1:15" x14ac:dyDescent="0.3">
      <c r="A8" s="21">
        <v>46268</v>
      </c>
      <c r="B8" s="22">
        <v>41382</v>
      </c>
      <c r="C8" s="22">
        <v>12</v>
      </c>
      <c r="D8" s="22">
        <v>156</v>
      </c>
      <c r="E8" s="22">
        <v>2357</v>
      </c>
      <c r="F8" s="22">
        <v>1</v>
      </c>
      <c r="G8" s="22">
        <v>1440</v>
      </c>
      <c r="H8" s="22">
        <v>0</v>
      </c>
      <c r="I8" s="23"/>
      <c r="J8" s="24">
        <f t="shared" si="0"/>
        <v>0.99971001884877486</v>
      </c>
      <c r="K8" s="25">
        <f t="shared" si="1"/>
        <v>0.99623024503407276</v>
      </c>
      <c r="L8" s="24">
        <f t="shared" si="2"/>
        <v>0.99957573186253712</v>
      </c>
      <c r="M8" s="26">
        <f>SUM($C$6:C8)/Error_Budget!$F$6</f>
        <v>3.8592828294717961E-2</v>
      </c>
      <c r="N8" s="26">
        <f>SUM($H$6:H8)/Error_Budget!$F$9</f>
        <v>0</v>
      </c>
      <c r="O8" s="26">
        <f>Window_Targets!$B$6</f>
        <v>0.999</v>
      </c>
    </row>
    <row r="9" spans="1:15" x14ac:dyDescent="0.3">
      <c r="A9" s="21">
        <v>46269</v>
      </c>
      <c r="B9" s="22">
        <v>42961</v>
      </c>
      <c r="C9" s="22">
        <v>13</v>
      </c>
      <c r="D9" s="22">
        <v>194</v>
      </c>
      <c r="E9" s="22">
        <v>2394</v>
      </c>
      <c r="F9" s="22">
        <v>2</v>
      </c>
      <c r="G9" s="22">
        <v>1440</v>
      </c>
      <c r="H9" s="22">
        <v>0</v>
      </c>
      <c r="I9" s="23"/>
      <c r="J9" s="24">
        <f t="shared" si="0"/>
        <v>0.99969739996741236</v>
      </c>
      <c r="K9" s="25">
        <f t="shared" si="1"/>
        <v>0.99548427643676818</v>
      </c>
      <c r="L9" s="24">
        <f t="shared" si="2"/>
        <v>0.99916457811194648</v>
      </c>
      <c r="M9" s="26">
        <f>SUM($C$6:C9)/Error_Budget!$F$6</f>
        <v>5.1135497490501294E-2</v>
      </c>
      <c r="N9" s="26">
        <f>SUM($H$6:H9)/Error_Budget!$F$9</f>
        <v>0</v>
      </c>
      <c r="O9" s="26">
        <f>Window_Targets!$B$6</f>
        <v>0.999</v>
      </c>
    </row>
    <row r="10" spans="1:15" x14ac:dyDescent="0.3">
      <c r="A10" s="21">
        <v>46270</v>
      </c>
      <c r="B10" s="22">
        <v>12611</v>
      </c>
      <c r="C10" s="22">
        <v>4</v>
      </c>
      <c r="D10" s="22">
        <v>58</v>
      </c>
      <c r="E10" s="22">
        <v>703</v>
      </c>
      <c r="F10" s="22">
        <v>0</v>
      </c>
      <c r="G10" s="22">
        <v>1440</v>
      </c>
      <c r="H10" s="22">
        <v>0</v>
      </c>
      <c r="I10" s="23"/>
      <c r="J10" s="24">
        <f t="shared" si="0"/>
        <v>0.9996828165886924</v>
      </c>
      <c r="K10" s="25">
        <f t="shared" si="1"/>
        <v>0.99540084053603994</v>
      </c>
      <c r="L10" s="24">
        <f t="shared" si="2"/>
        <v>1</v>
      </c>
      <c r="M10" s="26">
        <f>SUM($C$6:C10)/Error_Budget!$F$6</f>
        <v>5.499478031997309E-2</v>
      </c>
      <c r="N10" s="26">
        <f>SUM($H$6:H10)/Error_Budget!$F$9</f>
        <v>0</v>
      </c>
      <c r="O10" s="26">
        <f>Window_Targets!$B$6</f>
        <v>0.999</v>
      </c>
    </row>
    <row r="11" spans="1:15" x14ac:dyDescent="0.3">
      <c r="A11" s="21">
        <v>46271</v>
      </c>
      <c r="B11" s="22">
        <v>16246</v>
      </c>
      <c r="C11" s="22">
        <v>3</v>
      </c>
      <c r="D11" s="22">
        <v>66</v>
      </c>
      <c r="E11" s="22">
        <v>983</v>
      </c>
      <c r="F11" s="22">
        <v>0</v>
      </c>
      <c r="G11" s="22">
        <v>1440</v>
      </c>
      <c r="H11" s="22">
        <v>0</v>
      </c>
      <c r="I11" s="23"/>
      <c r="J11" s="24">
        <f t="shared" si="0"/>
        <v>0.99981533916040877</v>
      </c>
      <c r="K11" s="25">
        <f t="shared" si="1"/>
        <v>0.99593746152899176</v>
      </c>
      <c r="L11" s="24">
        <f t="shared" si="2"/>
        <v>1</v>
      </c>
      <c r="M11" s="26">
        <f>SUM($C$6:C11)/Error_Budget!$F$6</f>
        <v>5.7889242442076938E-2</v>
      </c>
      <c r="N11" s="26">
        <f>SUM($H$6:H11)/Error_Budget!$F$9</f>
        <v>0</v>
      </c>
      <c r="O11" s="26">
        <f>Window_Targets!$B$6</f>
        <v>0.999</v>
      </c>
    </row>
    <row r="12" spans="1:15" x14ac:dyDescent="0.3">
      <c r="A12" s="21">
        <v>46272</v>
      </c>
      <c r="B12" s="22">
        <v>38999</v>
      </c>
      <c r="C12" s="22">
        <v>13</v>
      </c>
      <c r="D12" s="22">
        <v>179</v>
      </c>
      <c r="E12" s="22">
        <v>2409</v>
      </c>
      <c r="F12" s="22">
        <v>1</v>
      </c>
      <c r="G12" s="22">
        <v>1440</v>
      </c>
      <c r="H12" s="22">
        <v>0</v>
      </c>
      <c r="I12" s="23"/>
      <c r="J12" s="24">
        <f t="shared" si="0"/>
        <v>0.999666658119439</v>
      </c>
      <c r="K12" s="25">
        <f t="shared" si="1"/>
        <v>0.99541013872150563</v>
      </c>
      <c r="L12" s="24">
        <f t="shared" si="2"/>
        <v>0.99958488999584894</v>
      </c>
      <c r="M12" s="26">
        <f>SUM($C$6:C12)/Error_Budget!$F$6</f>
        <v>7.0431911637860278E-2</v>
      </c>
      <c r="N12" s="26">
        <f>SUM($H$6:H12)/Error_Budget!$F$9</f>
        <v>0</v>
      </c>
      <c r="O12" s="26">
        <f>Window_Targets!$B$6</f>
        <v>0.999</v>
      </c>
    </row>
    <row r="13" spans="1:15" x14ac:dyDescent="0.3">
      <c r="A13" s="21">
        <v>46273</v>
      </c>
      <c r="B13" s="22">
        <v>43016</v>
      </c>
      <c r="C13" s="22">
        <v>10</v>
      </c>
      <c r="D13" s="22">
        <v>210</v>
      </c>
      <c r="E13" s="22">
        <v>2754</v>
      </c>
      <c r="F13" s="22">
        <v>1</v>
      </c>
      <c r="G13" s="22">
        <v>1440</v>
      </c>
      <c r="H13" s="22">
        <v>0</v>
      </c>
      <c r="I13" s="23"/>
      <c r="J13" s="24">
        <f t="shared" si="0"/>
        <v>0.99976752836153993</v>
      </c>
      <c r="K13" s="25">
        <f t="shared" si="1"/>
        <v>0.99511809559233777</v>
      </c>
      <c r="L13" s="24">
        <f t="shared" si="2"/>
        <v>0.99963689179375459</v>
      </c>
      <c r="M13" s="26">
        <f>SUM($C$6:C13)/Error_Budget!$F$6</f>
        <v>8.0080118711539763E-2</v>
      </c>
      <c r="N13" s="26">
        <f>SUM($H$6:H13)/Error_Budget!$F$9</f>
        <v>0</v>
      </c>
      <c r="O13" s="26">
        <f>Window_Targets!$B$6</f>
        <v>0.999</v>
      </c>
    </row>
    <row r="14" spans="1:15" x14ac:dyDescent="0.3">
      <c r="A14" s="21">
        <v>46274</v>
      </c>
      <c r="B14" s="22">
        <v>38484</v>
      </c>
      <c r="C14" s="22">
        <v>8</v>
      </c>
      <c r="D14" s="22">
        <v>147</v>
      </c>
      <c r="E14" s="22">
        <v>2219</v>
      </c>
      <c r="F14" s="22">
        <v>1</v>
      </c>
      <c r="G14" s="22">
        <v>1440</v>
      </c>
      <c r="H14" s="22">
        <v>0</v>
      </c>
      <c r="I14" s="23"/>
      <c r="J14" s="24">
        <f t="shared" si="0"/>
        <v>0.99979212140110174</v>
      </c>
      <c r="K14" s="25">
        <f t="shared" si="1"/>
        <v>0.99618023074524475</v>
      </c>
      <c r="L14" s="24">
        <f t="shared" si="2"/>
        <v>0.99954934655250116</v>
      </c>
      <c r="M14" s="26">
        <f>SUM($C$6:C14)/Error_Budget!$F$6</f>
        <v>8.7798684370483354E-2</v>
      </c>
      <c r="N14" s="26">
        <f>SUM($H$6:H14)/Error_Budget!$F$9</f>
        <v>0</v>
      </c>
      <c r="O14" s="26">
        <f>Window_Targets!$B$6</f>
        <v>0.999</v>
      </c>
    </row>
    <row r="15" spans="1:15" x14ac:dyDescent="0.3">
      <c r="A15" s="21">
        <v>46275</v>
      </c>
      <c r="B15" s="22">
        <v>43029</v>
      </c>
      <c r="C15" s="22">
        <v>17</v>
      </c>
      <c r="D15" s="22">
        <v>151</v>
      </c>
      <c r="E15" s="22">
        <v>2728</v>
      </c>
      <c r="F15" s="22">
        <v>2</v>
      </c>
      <c r="G15" s="22">
        <v>1440</v>
      </c>
      <c r="H15" s="22">
        <v>0</v>
      </c>
      <c r="I15" s="23"/>
      <c r="J15" s="24">
        <f t="shared" si="0"/>
        <v>0.9996049176137024</v>
      </c>
      <c r="K15" s="25">
        <f t="shared" si="1"/>
        <v>0.99649073880406236</v>
      </c>
      <c r="L15" s="24">
        <f t="shared" si="2"/>
        <v>0.99926686217008798</v>
      </c>
      <c r="M15" s="26">
        <f>SUM($C$6:C15)/Error_Budget!$F$6</f>
        <v>0.10420063639573848</v>
      </c>
      <c r="N15" s="26">
        <f>SUM($H$6:H15)/Error_Budget!$F$9</f>
        <v>0</v>
      </c>
      <c r="O15" s="26">
        <f>Window_Targets!$B$6</f>
        <v>0.999</v>
      </c>
    </row>
    <row r="16" spans="1:15" x14ac:dyDescent="0.3">
      <c r="A16" s="21">
        <v>46276</v>
      </c>
      <c r="B16" s="22">
        <v>39664</v>
      </c>
      <c r="C16" s="22">
        <v>10</v>
      </c>
      <c r="D16" s="22">
        <v>170</v>
      </c>
      <c r="E16" s="22">
        <v>2296</v>
      </c>
      <c r="F16" s="22">
        <v>1</v>
      </c>
      <c r="G16" s="22">
        <v>1440</v>
      </c>
      <c r="H16" s="22">
        <v>0</v>
      </c>
      <c r="I16" s="23"/>
      <c r="J16" s="24">
        <f t="shared" si="0"/>
        <v>0.99974788221056876</v>
      </c>
      <c r="K16" s="25">
        <f t="shared" si="1"/>
        <v>0.99571399757966927</v>
      </c>
      <c r="L16" s="24">
        <f t="shared" si="2"/>
        <v>0.99956445993031362</v>
      </c>
      <c r="M16" s="26">
        <f>SUM($C$6:C16)/Error_Budget!$F$6</f>
        <v>0.11384884346941798</v>
      </c>
      <c r="N16" s="26">
        <f>SUM($H$6:H16)/Error_Budget!$F$9</f>
        <v>0</v>
      </c>
      <c r="O16" s="26">
        <f>Window_Targets!$B$6</f>
        <v>0.999</v>
      </c>
    </row>
    <row r="17" spans="1:15" x14ac:dyDescent="0.3">
      <c r="A17" s="21">
        <v>46277</v>
      </c>
      <c r="B17" s="22">
        <v>13008</v>
      </c>
      <c r="C17" s="22">
        <v>454</v>
      </c>
      <c r="D17" s="22">
        <v>47</v>
      </c>
      <c r="E17" s="22">
        <v>844</v>
      </c>
      <c r="F17" s="22">
        <v>120</v>
      </c>
      <c r="G17" s="22">
        <v>1440</v>
      </c>
      <c r="H17" s="22">
        <v>22</v>
      </c>
      <c r="I17" s="23" t="s">
        <v>96</v>
      </c>
      <c r="J17" s="24">
        <f t="shared" si="0"/>
        <v>0.96509840098400979</v>
      </c>
      <c r="K17" s="25">
        <f t="shared" si="1"/>
        <v>0.99638683886838864</v>
      </c>
      <c r="L17" s="24">
        <f t="shared" si="2"/>
        <v>0.85781990521327012</v>
      </c>
      <c r="M17" s="26">
        <f>SUM($C$6:C17)/Error_Budget!$F$6</f>
        <v>0.55187744461446686</v>
      </c>
      <c r="N17" s="26">
        <f>SUM($H$6:H17)/Error_Budget!$F$9</f>
        <v>0.50925925925925886</v>
      </c>
      <c r="O17" s="26">
        <f>Window_Targets!$B$6</f>
        <v>0.999</v>
      </c>
    </row>
    <row r="18" spans="1:15" x14ac:dyDescent="0.3">
      <c r="A18" s="21">
        <v>46278</v>
      </c>
      <c r="B18" s="22">
        <v>14980</v>
      </c>
      <c r="C18" s="22">
        <v>3</v>
      </c>
      <c r="D18" s="22">
        <v>54</v>
      </c>
      <c r="E18" s="22">
        <v>920</v>
      </c>
      <c r="F18" s="22">
        <v>1</v>
      </c>
      <c r="G18" s="22">
        <v>1440</v>
      </c>
      <c r="H18" s="22">
        <v>0</v>
      </c>
      <c r="I18" s="23"/>
      <c r="J18" s="24">
        <f t="shared" si="0"/>
        <v>0.99979973297730307</v>
      </c>
      <c r="K18" s="25">
        <f t="shared" si="1"/>
        <v>0.99639519359145523</v>
      </c>
      <c r="L18" s="24">
        <f t="shared" si="2"/>
        <v>0.99891304347826082</v>
      </c>
      <c r="M18" s="26">
        <f>SUM($C$6:C18)/Error_Budget!$F$6</f>
        <v>0.55477190673657062</v>
      </c>
      <c r="N18" s="26">
        <f>SUM($H$6:H18)/Error_Budget!$F$9</f>
        <v>0.50925925925925886</v>
      </c>
      <c r="O18" s="26">
        <f>Window_Targets!$B$6</f>
        <v>0.999</v>
      </c>
    </row>
    <row r="19" spans="1:15" x14ac:dyDescent="0.3">
      <c r="A19" s="21">
        <v>46279</v>
      </c>
      <c r="B19" s="22">
        <v>45108</v>
      </c>
      <c r="C19" s="22">
        <v>16</v>
      </c>
      <c r="D19" s="22">
        <v>196</v>
      </c>
      <c r="E19" s="22">
        <v>2716</v>
      </c>
      <c r="F19" s="22">
        <v>2</v>
      </c>
      <c r="G19" s="22">
        <v>1440</v>
      </c>
      <c r="H19" s="22">
        <v>0</v>
      </c>
      <c r="I19" s="23"/>
      <c r="J19" s="24">
        <f t="shared" si="0"/>
        <v>0.99964529573468119</v>
      </c>
      <c r="K19" s="25">
        <f t="shared" si="1"/>
        <v>0.99565487274984477</v>
      </c>
      <c r="L19" s="24">
        <f t="shared" si="2"/>
        <v>0.99926362297496318</v>
      </c>
      <c r="M19" s="26">
        <f>SUM($C$6:C19)/Error_Budget!$F$6</f>
        <v>0.57020903805445788</v>
      </c>
      <c r="N19" s="26">
        <f>SUM($H$6:H19)/Error_Budget!$F$9</f>
        <v>0.50925925925925886</v>
      </c>
      <c r="O19" s="26">
        <f>Window_Targets!$B$6</f>
        <v>0.999</v>
      </c>
    </row>
    <row r="20" spans="1:15" x14ac:dyDescent="0.3">
      <c r="A20" s="21">
        <v>46280</v>
      </c>
      <c r="B20" s="22">
        <v>41000</v>
      </c>
      <c r="C20" s="22">
        <v>11</v>
      </c>
      <c r="D20" s="22">
        <v>173</v>
      </c>
      <c r="E20" s="22">
        <v>2495</v>
      </c>
      <c r="F20" s="22">
        <v>1</v>
      </c>
      <c r="G20" s="22">
        <v>1440</v>
      </c>
      <c r="H20" s="22">
        <v>0</v>
      </c>
      <c r="I20" s="23"/>
      <c r="J20" s="24">
        <f t="shared" si="0"/>
        <v>0.99973170731707317</v>
      </c>
      <c r="K20" s="25">
        <f t="shared" si="1"/>
        <v>0.99578048780487805</v>
      </c>
      <c r="L20" s="24">
        <f t="shared" si="2"/>
        <v>0.99959919839679356</v>
      </c>
      <c r="M20" s="26">
        <f>SUM($C$6:C20)/Error_Budget!$F$6</f>
        <v>0.58082206583550533</v>
      </c>
      <c r="N20" s="26">
        <f>SUM($H$6:H20)/Error_Budget!$F$9</f>
        <v>0.50925925925925886</v>
      </c>
      <c r="O20" s="26">
        <f>Window_Targets!$B$6</f>
        <v>0.999</v>
      </c>
    </row>
    <row r="21" spans="1:15" x14ac:dyDescent="0.3">
      <c r="A21" s="21">
        <v>46281</v>
      </c>
      <c r="B21" s="22">
        <v>43948</v>
      </c>
      <c r="C21" s="22">
        <v>12</v>
      </c>
      <c r="D21" s="22">
        <v>204</v>
      </c>
      <c r="E21" s="22">
        <v>2694</v>
      </c>
      <c r="F21" s="22">
        <v>1</v>
      </c>
      <c r="G21" s="22">
        <v>1440</v>
      </c>
      <c r="H21" s="22">
        <v>0</v>
      </c>
      <c r="I21" s="23"/>
      <c r="J21" s="24">
        <f t="shared" si="0"/>
        <v>0.99972695003185585</v>
      </c>
      <c r="K21" s="25">
        <f t="shared" si="1"/>
        <v>0.99535815054154908</v>
      </c>
      <c r="L21" s="24">
        <f t="shared" si="2"/>
        <v>0.99962880475129923</v>
      </c>
      <c r="M21" s="26">
        <f>SUM($C$6:C21)/Error_Budget!$F$6</f>
        <v>0.5923999143239207</v>
      </c>
      <c r="N21" s="26">
        <f>SUM($H$6:H21)/Error_Budget!$F$9</f>
        <v>0.50925925925925886</v>
      </c>
      <c r="O21" s="26">
        <f>Window_Targets!$B$6</f>
        <v>0.999</v>
      </c>
    </row>
    <row r="22" spans="1:15" x14ac:dyDescent="0.3">
      <c r="A22" s="21">
        <v>46282</v>
      </c>
      <c r="B22" s="22">
        <v>39955</v>
      </c>
      <c r="C22" s="22">
        <v>14</v>
      </c>
      <c r="D22" s="22">
        <v>185</v>
      </c>
      <c r="E22" s="22">
        <v>2351</v>
      </c>
      <c r="F22" s="22">
        <v>1</v>
      </c>
      <c r="G22" s="22">
        <v>1440</v>
      </c>
      <c r="H22" s="22">
        <v>0</v>
      </c>
      <c r="I22" s="23"/>
      <c r="J22" s="24">
        <f t="shared" si="0"/>
        <v>0.99964960580653239</v>
      </c>
      <c r="K22" s="25">
        <f t="shared" si="1"/>
        <v>0.99536979101489176</v>
      </c>
      <c r="L22" s="24">
        <f t="shared" si="2"/>
        <v>0.99957464908549554</v>
      </c>
      <c r="M22" s="26">
        <f>SUM($C$6:C22)/Error_Budget!$F$6</f>
        <v>0.60590740422707201</v>
      </c>
      <c r="N22" s="26">
        <f>SUM($H$6:H22)/Error_Budget!$F$9</f>
        <v>0.50925925925925886</v>
      </c>
      <c r="O22" s="26">
        <f>Window_Targets!$B$6</f>
        <v>0.999</v>
      </c>
    </row>
    <row r="23" spans="1:15" x14ac:dyDescent="0.3">
      <c r="A23" s="21">
        <v>46283</v>
      </c>
      <c r="B23" s="22">
        <v>41179</v>
      </c>
      <c r="C23" s="22">
        <v>15</v>
      </c>
      <c r="D23" s="22">
        <v>128</v>
      </c>
      <c r="E23" s="22">
        <v>2505</v>
      </c>
      <c r="F23" s="22">
        <v>1</v>
      </c>
      <c r="G23" s="22">
        <v>1440</v>
      </c>
      <c r="H23" s="22">
        <v>0</v>
      </c>
      <c r="I23" s="23"/>
      <c r="J23" s="24">
        <f t="shared" si="0"/>
        <v>0.99963573666189076</v>
      </c>
      <c r="K23" s="25">
        <f t="shared" si="1"/>
        <v>0.99689161951480121</v>
      </c>
      <c r="L23" s="24">
        <f t="shared" si="2"/>
        <v>0.9996007984031936</v>
      </c>
      <c r="M23" s="26">
        <f>SUM($C$6:C23)/Error_Budget!$F$6</f>
        <v>0.62037971483759125</v>
      </c>
      <c r="N23" s="26">
        <f>SUM($H$6:H23)/Error_Budget!$F$9</f>
        <v>0.50925925925925886</v>
      </c>
      <c r="O23" s="26">
        <f>Window_Targets!$B$6</f>
        <v>0.999</v>
      </c>
    </row>
    <row r="24" spans="1:15" x14ac:dyDescent="0.3">
      <c r="A24" s="21">
        <v>46284</v>
      </c>
      <c r="B24" s="22">
        <v>14618</v>
      </c>
      <c r="C24" s="22">
        <v>4</v>
      </c>
      <c r="D24" s="22">
        <v>936</v>
      </c>
      <c r="E24" s="22">
        <v>818</v>
      </c>
      <c r="F24" s="22">
        <v>0</v>
      </c>
      <c r="G24" s="22">
        <v>1440</v>
      </c>
      <c r="H24" s="22">
        <v>0</v>
      </c>
      <c r="I24" s="23" t="s">
        <v>97</v>
      </c>
      <c r="J24" s="24">
        <f t="shared" si="0"/>
        <v>0.99972636475578058</v>
      </c>
      <c r="K24" s="25">
        <f t="shared" si="1"/>
        <v>0.93596935285264737</v>
      </c>
      <c r="L24" s="24">
        <f t="shared" si="2"/>
        <v>1</v>
      </c>
      <c r="M24" s="26">
        <f>SUM($C$6:C24)/Error_Budget!$F$6</f>
        <v>0.62423899766706303</v>
      </c>
      <c r="N24" s="26">
        <f>SUM($H$6:H24)/Error_Budget!$F$9</f>
        <v>0.50925925925925886</v>
      </c>
      <c r="O24" s="26">
        <f>Window_Targets!$B$6</f>
        <v>0.999</v>
      </c>
    </row>
    <row r="25" spans="1:15" x14ac:dyDescent="0.3">
      <c r="A25" s="21">
        <v>46285</v>
      </c>
      <c r="B25" s="22">
        <v>15623</v>
      </c>
      <c r="C25" s="22">
        <v>4</v>
      </c>
      <c r="D25" s="22">
        <v>55</v>
      </c>
      <c r="E25" s="22">
        <v>1000</v>
      </c>
      <c r="F25" s="22">
        <v>0</v>
      </c>
      <c r="G25" s="22">
        <v>1440</v>
      </c>
      <c r="H25" s="22">
        <v>0</v>
      </c>
      <c r="I25" s="23"/>
      <c r="J25" s="24">
        <f t="shared" si="0"/>
        <v>0.99974396722780512</v>
      </c>
      <c r="K25" s="25">
        <f t="shared" si="1"/>
        <v>0.99647954938232097</v>
      </c>
      <c r="L25" s="24">
        <f t="shared" si="2"/>
        <v>1</v>
      </c>
      <c r="M25" s="26">
        <f>SUM($C$6:C25)/Error_Budget!$F$6</f>
        <v>0.62809828049653482</v>
      </c>
      <c r="N25" s="26">
        <f>SUM($H$6:H25)/Error_Budget!$F$9</f>
        <v>0.50925925925925886</v>
      </c>
      <c r="O25" s="26">
        <f>Window_Targets!$B$6</f>
        <v>0.999</v>
      </c>
    </row>
    <row r="26" spans="1:15" x14ac:dyDescent="0.3">
      <c r="A26" s="21">
        <v>46286</v>
      </c>
      <c r="B26" s="22">
        <v>40328</v>
      </c>
      <c r="C26" s="22">
        <v>14</v>
      </c>
      <c r="D26" s="22">
        <v>123</v>
      </c>
      <c r="E26" s="22">
        <v>2374</v>
      </c>
      <c r="F26" s="22">
        <v>1</v>
      </c>
      <c r="G26" s="22">
        <v>1440</v>
      </c>
      <c r="H26" s="22">
        <v>0</v>
      </c>
      <c r="I26" s="23"/>
      <c r="J26" s="24">
        <f t="shared" si="0"/>
        <v>0.99965284665740928</v>
      </c>
      <c r="K26" s="25">
        <f t="shared" si="1"/>
        <v>0.99695000991866689</v>
      </c>
      <c r="L26" s="24">
        <f t="shared" si="2"/>
        <v>0.99957877000842466</v>
      </c>
      <c r="M26" s="26">
        <f>SUM($C$6:C26)/Error_Budget!$F$6</f>
        <v>0.64160577039968603</v>
      </c>
      <c r="N26" s="26">
        <f>SUM($H$6:H26)/Error_Budget!$F$9</f>
        <v>0.50925925925925886</v>
      </c>
      <c r="O26" s="26">
        <f>Window_Targets!$B$6</f>
        <v>0.999</v>
      </c>
    </row>
    <row r="27" spans="1:15" x14ac:dyDescent="0.3">
      <c r="A27" s="21">
        <v>46287</v>
      </c>
      <c r="B27" s="22">
        <v>42438</v>
      </c>
      <c r="C27" s="22">
        <v>9</v>
      </c>
      <c r="D27" s="22">
        <v>178</v>
      </c>
      <c r="E27" s="22">
        <v>2488</v>
      </c>
      <c r="F27" s="22">
        <v>1</v>
      </c>
      <c r="G27" s="22">
        <v>1440</v>
      </c>
      <c r="H27" s="22">
        <v>0</v>
      </c>
      <c r="I27" s="23"/>
      <c r="J27" s="24">
        <f t="shared" si="0"/>
        <v>0.99978792591545318</v>
      </c>
      <c r="K27" s="25">
        <f t="shared" si="1"/>
        <v>0.99580564588340637</v>
      </c>
      <c r="L27" s="24">
        <f t="shared" si="2"/>
        <v>0.99959807073954987</v>
      </c>
      <c r="M27" s="26">
        <f>SUM($C$6:C27)/Error_Budget!$F$6</f>
        <v>0.65028915676599763</v>
      </c>
      <c r="N27" s="26">
        <f>SUM($H$6:H27)/Error_Budget!$F$9</f>
        <v>0.50925925925925886</v>
      </c>
      <c r="O27" s="26">
        <f>Window_Targets!$B$6</f>
        <v>0.999</v>
      </c>
    </row>
    <row r="28" spans="1:15" x14ac:dyDescent="0.3">
      <c r="A28" s="21">
        <v>46288</v>
      </c>
      <c r="B28" s="22">
        <v>42833</v>
      </c>
      <c r="C28" s="22">
        <v>13</v>
      </c>
      <c r="D28" s="22">
        <v>150</v>
      </c>
      <c r="E28" s="22">
        <v>2464</v>
      </c>
      <c r="F28" s="22">
        <v>1</v>
      </c>
      <c r="G28" s="22">
        <v>1440</v>
      </c>
      <c r="H28" s="22">
        <v>0</v>
      </c>
      <c r="I28" s="23"/>
      <c r="J28" s="24">
        <f t="shared" si="0"/>
        <v>0.99969649569257346</v>
      </c>
      <c r="K28" s="25">
        <f t="shared" si="1"/>
        <v>0.99649802722200176</v>
      </c>
      <c r="L28" s="24">
        <f t="shared" si="2"/>
        <v>0.9995941558441559</v>
      </c>
      <c r="M28" s="26">
        <f>SUM($C$6:C28)/Error_Budget!$F$6</f>
        <v>0.66283182596178092</v>
      </c>
      <c r="N28" s="26">
        <f>SUM($H$6:H28)/Error_Budget!$F$9</f>
        <v>0.50925925925925886</v>
      </c>
      <c r="O28" s="26">
        <f>Window_Targets!$B$6</f>
        <v>0.999</v>
      </c>
    </row>
    <row r="29" spans="1:15" x14ac:dyDescent="0.3">
      <c r="A29" s="21">
        <v>46289</v>
      </c>
      <c r="B29" s="22">
        <v>41203</v>
      </c>
      <c r="C29" s="22">
        <v>14</v>
      </c>
      <c r="D29" s="22">
        <v>197</v>
      </c>
      <c r="E29" s="22">
        <v>2583</v>
      </c>
      <c r="F29" s="22">
        <v>1</v>
      </c>
      <c r="G29" s="22">
        <v>1440</v>
      </c>
      <c r="H29" s="22">
        <v>0</v>
      </c>
      <c r="I29" s="23"/>
      <c r="J29" s="24">
        <f t="shared" si="0"/>
        <v>0.99966021891609835</v>
      </c>
      <c r="K29" s="25">
        <f t="shared" si="1"/>
        <v>0.99521879474795527</v>
      </c>
      <c r="L29" s="24">
        <f t="shared" si="2"/>
        <v>0.99961285327138982</v>
      </c>
      <c r="M29" s="26">
        <f>SUM($C$6:C29)/Error_Budget!$F$6</f>
        <v>0.67633931586493223</v>
      </c>
      <c r="N29" s="26">
        <f>SUM($H$6:H29)/Error_Budget!$F$9</f>
        <v>0.50925925925925886</v>
      </c>
      <c r="O29" s="26">
        <f>Window_Targets!$B$6</f>
        <v>0.999</v>
      </c>
    </row>
    <row r="30" spans="1:15" x14ac:dyDescent="0.3">
      <c r="A30" s="21">
        <v>46290</v>
      </c>
      <c r="B30" s="22">
        <v>42416</v>
      </c>
      <c r="C30" s="22">
        <v>210</v>
      </c>
      <c r="D30" s="22">
        <v>175</v>
      </c>
      <c r="E30" s="22">
        <v>2509</v>
      </c>
      <c r="F30" s="22">
        <v>41</v>
      </c>
      <c r="G30" s="22">
        <v>1440</v>
      </c>
      <c r="H30" s="22">
        <v>9</v>
      </c>
      <c r="I30" s="23" t="s">
        <v>98</v>
      </c>
      <c r="J30" s="24">
        <f t="shared" si="0"/>
        <v>0.99504903809883061</v>
      </c>
      <c r="K30" s="25">
        <f t="shared" si="1"/>
        <v>0.99587419841569225</v>
      </c>
      <c r="L30" s="24">
        <f t="shared" si="2"/>
        <v>0.98365882821841366</v>
      </c>
      <c r="M30" s="26">
        <f>SUM($C$6:C30)/Error_Budget!$F$6</f>
        <v>0.87895166441220152</v>
      </c>
      <c r="N30" s="26">
        <f>SUM($H$6:H30)/Error_Budget!$F$9</f>
        <v>0.717592592592592</v>
      </c>
      <c r="O30" s="26">
        <f>Window_Targets!$B$6</f>
        <v>0.999</v>
      </c>
    </row>
    <row r="31" spans="1:15" x14ac:dyDescent="0.3">
      <c r="A31" s="21">
        <v>46291</v>
      </c>
      <c r="B31" s="22">
        <v>17329</v>
      </c>
      <c r="C31" s="22">
        <v>7</v>
      </c>
      <c r="D31" s="22">
        <v>67</v>
      </c>
      <c r="E31" s="22">
        <v>1063</v>
      </c>
      <c r="F31" s="22">
        <v>1</v>
      </c>
      <c r="G31" s="22">
        <v>1440</v>
      </c>
      <c r="H31" s="22">
        <v>0</v>
      </c>
      <c r="I31" s="23"/>
      <c r="J31" s="24">
        <f t="shared" si="0"/>
        <v>0.9995960528593687</v>
      </c>
      <c r="K31" s="25">
        <f t="shared" si="1"/>
        <v>0.99613364879681454</v>
      </c>
      <c r="L31" s="24">
        <f t="shared" si="2"/>
        <v>0.99905926622765762</v>
      </c>
      <c r="M31" s="26">
        <f>SUM($C$6:C31)/Error_Budget!$F$6</f>
        <v>0.88570540936377717</v>
      </c>
      <c r="N31" s="26">
        <f>SUM($H$6:H31)/Error_Budget!$F$9</f>
        <v>0.717592592592592</v>
      </c>
      <c r="O31" s="26">
        <f>Window_Targets!$B$6</f>
        <v>0.999</v>
      </c>
    </row>
    <row r="32" spans="1:15" x14ac:dyDescent="0.3">
      <c r="A32" s="21">
        <v>46292</v>
      </c>
      <c r="B32" s="22">
        <v>13922</v>
      </c>
      <c r="C32" s="22">
        <v>3</v>
      </c>
      <c r="D32" s="22">
        <v>44</v>
      </c>
      <c r="E32" s="22">
        <v>854</v>
      </c>
      <c r="F32" s="22">
        <v>1</v>
      </c>
      <c r="G32" s="22">
        <v>1440</v>
      </c>
      <c r="H32" s="22">
        <v>0</v>
      </c>
      <c r="I32" s="23"/>
      <c r="J32" s="24">
        <f t="shared" si="0"/>
        <v>0.99978451371929322</v>
      </c>
      <c r="K32" s="25">
        <f t="shared" si="1"/>
        <v>0.9968395345496337</v>
      </c>
      <c r="L32" s="24">
        <f t="shared" si="2"/>
        <v>0.99882903981264637</v>
      </c>
      <c r="M32" s="26">
        <f>SUM($C$6:C32)/Error_Budget!$F$6</f>
        <v>0.88859987148588104</v>
      </c>
      <c r="N32" s="26">
        <f>SUM($H$6:H32)/Error_Budget!$F$9</f>
        <v>0.717592592592592</v>
      </c>
      <c r="O32" s="26">
        <f>Window_Targets!$B$6</f>
        <v>0.999</v>
      </c>
    </row>
    <row r="33" spans="1:15" x14ac:dyDescent="0.3">
      <c r="A33" s="21">
        <v>46293</v>
      </c>
      <c r="B33" s="22">
        <v>41221</v>
      </c>
      <c r="C33" s="22">
        <v>12</v>
      </c>
      <c r="D33" s="22">
        <v>151</v>
      </c>
      <c r="E33" s="22">
        <v>2544</v>
      </c>
      <c r="F33" s="22">
        <v>1</v>
      </c>
      <c r="G33" s="22">
        <v>1440</v>
      </c>
      <c r="H33" s="22">
        <v>0</v>
      </c>
      <c r="I33" s="23"/>
      <c r="J33" s="24">
        <f t="shared" si="0"/>
        <v>0.99970888624730114</v>
      </c>
      <c r="K33" s="25">
        <f t="shared" si="1"/>
        <v>0.99633681861187262</v>
      </c>
      <c r="L33" s="24">
        <f t="shared" si="2"/>
        <v>0.99960691823899372</v>
      </c>
      <c r="M33" s="26">
        <f>SUM($C$6:C33)/Error_Budget!$F$6</f>
        <v>0.90017771997429641</v>
      </c>
      <c r="N33" s="26">
        <f>SUM($H$6:H33)/Error_Budget!$F$9</f>
        <v>0.717592592592592</v>
      </c>
      <c r="O33" s="26">
        <f>Window_Targets!$B$6</f>
        <v>0.999</v>
      </c>
    </row>
    <row r="34" spans="1:15" x14ac:dyDescent="0.3">
      <c r="A34" s="21">
        <v>46294</v>
      </c>
      <c r="B34" s="22">
        <v>43855</v>
      </c>
      <c r="C34" s="22">
        <v>10</v>
      </c>
      <c r="D34" s="22">
        <v>139</v>
      </c>
      <c r="E34" s="22">
        <v>2842</v>
      </c>
      <c r="F34" s="22">
        <v>2</v>
      </c>
      <c r="G34" s="22">
        <v>1440</v>
      </c>
      <c r="H34" s="22">
        <v>0</v>
      </c>
      <c r="I34" s="23"/>
      <c r="J34" s="24">
        <f t="shared" si="0"/>
        <v>0.99977197582943789</v>
      </c>
      <c r="K34" s="25">
        <f t="shared" si="1"/>
        <v>0.99683046402918707</v>
      </c>
      <c r="L34" s="24">
        <f t="shared" si="2"/>
        <v>0.99929627023223078</v>
      </c>
      <c r="M34" s="26">
        <f>SUM($C$6:C34)/Error_Budget!$F$6</f>
        <v>0.90982592704797594</v>
      </c>
      <c r="N34" s="26">
        <f>SUM($H$6:H34)/Error_Budget!$F$9</f>
        <v>0.717592592592592</v>
      </c>
      <c r="O34" s="26">
        <f>Window_Targets!$B$6</f>
        <v>0.999</v>
      </c>
    </row>
    <row r="35" spans="1:15" x14ac:dyDescent="0.3">
      <c r="A35" s="21">
        <v>46295</v>
      </c>
      <c r="B35" s="22">
        <v>41302</v>
      </c>
      <c r="C35" s="22">
        <v>9</v>
      </c>
      <c r="D35" s="22">
        <v>167</v>
      </c>
      <c r="E35" s="22">
        <v>2408</v>
      </c>
      <c r="F35" s="22">
        <v>1</v>
      </c>
      <c r="G35" s="22">
        <v>1440</v>
      </c>
      <c r="H35" s="22">
        <v>0</v>
      </c>
      <c r="I35" s="23"/>
      <c r="J35" s="24">
        <f t="shared" si="0"/>
        <v>0.99978209287685826</v>
      </c>
      <c r="K35" s="25">
        <f t="shared" si="1"/>
        <v>0.99595661227059218</v>
      </c>
      <c r="L35" s="24">
        <f t="shared" si="2"/>
        <v>0.99958471760797341</v>
      </c>
      <c r="M35" s="26">
        <f>SUM($C$6:C35)/Error_Budget!$F$6</f>
        <v>0.91850931341428743</v>
      </c>
      <c r="N35" s="26">
        <f>SUM($H$6:H35)/Error_Budget!$F$9</f>
        <v>0.717592592592592</v>
      </c>
      <c r="O35" s="26">
        <f>Window_Targets!$B$6</f>
        <v>0.999</v>
      </c>
    </row>
    <row r="36" spans="1:15" x14ac:dyDescent="0.3">
      <c r="A36" s="7" t="s">
        <v>99</v>
      </c>
      <c r="B36" s="27">
        <f t="shared" ref="B36:H36" si="3">SUM(B6:B35)</f>
        <v>1036462</v>
      </c>
      <c r="C36" s="27">
        <f t="shared" si="3"/>
        <v>952</v>
      </c>
      <c r="D36" s="27">
        <f t="shared" si="3"/>
        <v>5078</v>
      </c>
      <c r="E36" s="27">
        <f t="shared" si="3"/>
        <v>62193</v>
      </c>
      <c r="F36" s="27">
        <f t="shared" si="3"/>
        <v>189</v>
      </c>
      <c r="G36" s="27">
        <f t="shared" si="3"/>
        <v>43200</v>
      </c>
      <c r="H36" s="27">
        <f t="shared" si="3"/>
        <v>31</v>
      </c>
    </row>
  </sheetData>
  <mergeCells count="1">
    <mergeCell ref="A3:O3"/>
  </mergeCells>
  <conditionalFormatting sqref="I6:I35">
    <cfRule type="expression" dxfId="17" priority="4">
      <formula>LEN(I6)&gt;0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300-000001000000}">
            <xm:f>Window_Targets!$B$6</xm:f>
            <x14:dxf>
              <fill>
                <patternFill patternType="solid">
                  <fgColor rgb="FFFFC7CE"/>
                </patternFill>
              </fill>
            </x14:dxf>
          </x14:cfRule>
          <xm:sqref>J6:J35</xm:sqref>
        </x14:conditionalFormatting>
        <x14:conditionalFormatting xmlns:xm="http://schemas.microsoft.com/office/excel/2006/main">
          <x14:cfRule type="cellIs" priority="2" operator="lessThan" id="{00000000-000E-0000-0300-000002000000}">
            <xm:f>Window_Targets!$B$7</xm:f>
            <x14:dxf>
              <fill>
                <patternFill patternType="solid">
                  <fgColor rgb="FFFFC7CE"/>
                </patternFill>
              </fill>
            </x14:dxf>
          </x14:cfRule>
          <xm:sqref>K6:K35</xm:sqref>
        </x14:conditionalFormatting>
        <x14:conditionalFormatting xmlns:xm="http://schemas.microsoft.com/office/excel/2006/main">
          <x14:cfRule type="cellIs" priority="3" operator="lessThan" id="{00000000-000E-0000-0300-000003000000}">
            <xm:f>Window_Targets!$B$9</xm:f>
            <x14:dxf>
              <fill>
                <patternFill patternType="solid">
                  <fgColor rgb="FFFFC7CE"/>
                </patternFill>
              </fill>
            </x14:dxf>
          </x14:cfRule>
          <xm:sqref>L6:L35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workbookViewId="0"/>
  </sheetViews>
  <sheetFormatPr defaultRowHeight="14.4" x14ac:dyDescent="0.3"/>
  <cols>
    <col min="1" max="1" width="30" customWidth="1"/>
    <col min="2" max="2" width="10" customWidth="1"/>
    <col min="3" max="3" width="16" customWidth="1"/>
    <col min="4" max="4" width="12" customWidth="1"/>
    <col min="5" max="5" width="13" customWidth="1"/>
    <col min="6" max="7" width="15" customWidth="1"/>
    <col min="8" max="8" width="12" customWidth="1"/>
    <col min="9" max="9" width="16" customWidth="1"/>
    <col min="10" max="10" width="12" customWidth="1"/>
    <col min="11" max="11" width="28" customWidth="1"/>
    <col min="12" max="12" width="12" customWidth="1"/>
  </cols>
  <sheetData>
    <row r="1" spans="1:12" ht="21" x14ac:dyDescent="0.4">
      <c r="A1" s="1" t="s">
        <v>100</v>
      </c>
    </row>
    <row r="2" spans="1:12" x14ac:dyDescent="0.3">
      <c r="A2" s="2" t="s">
        <v>101</v>
      </c>
    </row>
    <row r="3" spans="1:12" x14ac:dyDescent="0.3">
      <c r="A3" s="36" t="s">
        <v>102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5" spans="1:12" ht="26.4" x14ac:dyDescent="0.3">
      <c r="A5" s="3" t="s">
        <v>3</v>
      </c>
      <c r="B5" s="3" t="s">
        <v>48</v>
      </c>
      <c r="C5" s="3" t="s">
        <v>103</v>
      </c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108</v>
      </c>
      <c r="I5" s="3" t="s">
        <v>7</v>
      </c>
      <c r="J5" s="3" t="s">
        <v>109</v>
      </c>
      <c r="K5" s="3" t="s">
        <v>8</v>
      </c>
      <c r="L5" s="3" t="s">
        <v>9</v>
      </c>
    </row>
    <row r="6" spans="1:12" x14ac:dyDescent="0.3">
      <c r="A6" s="10" t="s">
        <v>50</v>
      </c>
      <c r="B6" s="5">
        <f>Window_Targets!B6</f>
        <v>0.999</v>
      </c>
      <c r="C6" s="13">
        <f>SUM(Synthetic_Daily!$B$6:$B$35)</f>
        <v>1036462</v>
      </c>
      <c r="D6" s="13">
        <f>SUM(Synthetic_Daily!$C$6:$C$35)</f>
        <v>952</v>
      </c>
      <c r="E6" s="24">
        <f>1-D6/C6</f>
        <v>0.99908149068658569</v>
      </c>
      <c r="F6" s="28">
        <f>C6*(1-B6)</f>
        <v>1036.4620000000009</v>
      </c>
      <c r="G6" s="28">
        <f>D6</f>
        <v>952</v>
      </c>
      <c r="H6" s="26">
        <f>G6/F6</f>
        <v>0.91850931341428743</v>
      </c>
      <c r="I6" s="28">
        <f>F6-G6</f>
        <v>84.462000000000899</v>
      </c>
      <c r="J6" s="26">
        <f>I6/F6</f>
        <v>8.1490686585712568E-2</v>
      </c>
      <c r="K6" s="23" t="str">
        <f>IF(J6&lt;0,"EXHAUSTED - feature freeze",IF(J6&lt;Window_Targets!$B$21,"FREEZE risky releases",IF(J6&lt;Window_Targets!$B$20,"CAUTION - extra review","HEALTHY")))</f>
        <v>FREEZE risky releases</v>
      </c>
      <c r="L6" s="23" t="s">
        <v>110</v>
      </c>
    </row>
    <row r="7" spans="1:12" x14ac:dyDescent="0.3">
      <c r="A7" s="10" t="s">
        <v>111</v>
      </c>
      <c r="B7" s="5">
        <f>Window_Targets!B7</f>
        <v>0.99</v>
      </c>
      <c r="C7" s="13">
        <f>SUM(Synthetic_Daily!$B$6:$B$35)</f>
        <v>1036462</v>
      </c>
      <c r="D7" s="13">
        <f>SUM(Synthetic_Daily!$D$6:$D$35)</f>
        <v>5078</v>
      </c>
      <c r="E7" s="24">
        <f>1-D7/C7</f>
        <v>0.99510064044798552</v>
      </c>
      <c r="F7" s="28">
        <f>C7*(1-B7)</f>
        <v>10364.62000000001</v>
      </c>
      <c r="G7" s="28">
        <f>D7</f>
        <v>5078</v>
      </c>
      <c r="H7" s="26">
        <f>G7/F7</f>
        <v>0.48993595520144445</v>
      </c>
      <c r="I7" s="28">
        <f>F7-G7</f>
        <v>5286.6200000000099</v>
      </c>
      <c r="J7" s="26">
        <f>I7/F7</f>
        <v>0.5100640447985556</v>
      </c>
      <c r="K7" s="23" t="str">
        <f>IF(J7&lt;0,"EXHAUSTED - feature freeze",IF(J7&lt;Window_Targets!$B$21,"FREEZE risky releases",IF(J7&lt;Window_Targets!$B$20,"CAUTION - extra review","HEALTHY")))</f>
        <v>HEALTHY</v>
      </c>
      <c r="L7" s="23" t="s">
        <v>110</v>
      </c>
    </row>
    <row r="8" spans="1:12" x14ac:dyDescent="0.3">
      <c r="A8" s="10" t="s">
        <v>71</v>
      </c>
      <c r="B8" s="5">
        <f>Window_Targets!B9</f>
        <v>0.995</v>
      </c>
      <c r="C8" s="13">
        <f>SUM(Synthetic_Daily!$E$6:$E$35)</f>
        <v>62193</v>
      </c>
      <c r="D8" s="13">
        <f>SUM(Synthetic_Daily!$F$6:$F$35)</f>
        <v>189</v>
      </c>
      <c r="E8" s="24">
        <f>1-D8/C8</f>
        <v>0.99696107278954227</v>
      </c>
      <c r="F8" s="28">
        <f>C8*(1-B8)</f>
        <v>310.96500000000026</v>
      </c>
      <c r="G8" s="28">
        <f>D8</f>
        <v>189</v>
      </c>
      <c r="H8" s="26">
        <f>G8/F8</f>
        <v>0.60778544209155316</v>
      </c>
      <c r="I8" s="28">
        <f>F8-G8</f>
        <v>121.96500000000026</v>
      </c>
      <c r="J8" s="26">
        <f>I8/F8</f>
        <v>0.39221455790844678</v>
      </c>
      <c r="K8" s="23" t="str">
        <f>IF(J8&lt;0,"EXHAUSTED - feature freeze",IF(J8&lt;Window_Targets!$B$21,"FREEZE risky releases",IF(J8&lt;Window_Targets!$B$20,"CAUTION - extra review","HEALTHY")))</f>
        <v>CAUTION - extra review</v>
      </c>
      <c r="L8" s="23" t="s">
        <v>112</v>
      </c>
    </row>
    <row r="9" spans="1:12" x14ac:dyDescent="0.3">
      <c r="A9" s="10" t="s">
        <v>58</v>
      </c>
      <c r="B9" s="5">
        <f>Window_Targets!B6</f>
        <v>0.999</v>
      </c>
      <c r="C9" s="13">
        <f>SUM(Synthetic_Daily!$G$6:$G$35)</f>
        <v>43200</v>
      </c>
      <c r="D9" s="13">
        <f>SUM(Synthetic_Daily!$H$6:$H$35)</f>
        <v>31</v>
      </c>
      <c r="E9" s="24">
        <f>1-D9/C9</f>
        <v>0.99928240740740737</v>
      </c>
      <c r="F9" s="28">
        <f>C9*(1-B9)</f>
        <v>43.200000000000038</v>
      </c>
      <c r="G9" s="28">
        <f>D9</f>
        <v>31</v>
      </c>
      <c r="H9" s="26">
        <f>G9/F9</f>
        <v>0.717592592592592</v>
      </c>
      <c r="I9" s="28">
        <f>F9-G9</f>
        <v>12.200000000000038</v>
      </c>
      <c r="J9" s="26">
        <f>I9/F9</f>
        <v>0.28240740740740805</v>
      </c>
      <c r="K9" s="23" t="str">
        <f>IF(J9&lt;0,"EXHAUSTED - feature freeze",IF(J9&lt;Window_Targets!$B$21,"FREEZE risky releases",IF(J9&lt;Window_Targets!$B$20,"CAUTION - extra review","HEALTHY")))</f>
        <v>CAUTION - extra review</v>
      </c>
      <c r="L9" s="23" t="s">
        <v>113</v>
      </c>
    </row>
    <row r="11" spans="1:12" ht="15.6" x14ac:dyDescent="0.3">
      <c r="A11" s="17" t="s">
        <v>114</v>
      </c>
    </row>
    <row r="12" spans="1:12" ht="60" customHeight="1" x14ac:dyDescent="0.3">
      <c r="A12" s="38" t="s">
        <v>115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</sheetData>
  <mergeCells count="2">
    <mergeCell ref="A3:L3"/>
    <mergeCell ref="A12:L12"/>
  </mergeCells>
  <conditionalFormatting sqref="K6:K9">
    <cfRule type="expression" dxfId="10" priority="4">
      <formula>LEFT(K6,7)="HEALTHY"</formula>
    </cfRule>
    <cfRule type="expression" dxfId="9" priority="5">
      <formula>LEFT(K6,7)="CAUTION"</formula>
    </cfRule>
    <cfRule type="expression" dxfId="8" priority="6">
      <formula>OR(LEFT(K6,6)="FREEZE",LEFT(K6,9)="EXHAUSTED")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lessThan" id="{00000000-000E-0000-0400-000001000000}">
            <xm:f>Window_Targets!$B$21</xm:f>
            <x14:dxf>
              <fill>
                <patternFill patternType="solid">
                  <fgColor rgb="FFFFC7CE"/>
                </patternFill>
              </fill>
            </x14:dxf>
          </x14:cfRule>
          <x14:cfRule type="cellIs" priority="2" stopIfTrue="1" operator="lessThan" id="{00000000-000E-0000-0400-000002000000}">
            <xm:f>Window_Targets!$B$20</xm:f>
            <x14:dxf>
              <fill>
                <patternFill patternType="solid">
                  <fgColor rgb="FFFFEB9C"/>
                </patternFill>
              </fill>
            </x14:dxf>
          </x14:cfRule>
          <x14:cfRule type="cellIs" priority="3" stopIfTrue="1" operator="greaterThanOrEqual" id="{00000000-000E-0000-0400-000003000000}">
            <xm:f>Window_Targets!$B$20</xm:f>
            <x14:dxf>
              <fill>
                <patternFill patternType="solid">
                  <fgColor rgb="FFC6EFCE"/>
                </patternFill>
              </fill>
            </x14:dxf>
          </x14:cfRule>
          <xm:sqref>J6:J9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showGridLines="0" workbookViewId="0"/>
  </sheetViews>
  <sheetFormatPr defaultRowHeight="14.4" x14ac:dyDescent="0.3"/>
  <cols>
    <col min="1" max="1" width="40" customWidth="1"/>
    <col min="2" max="2" width="30" customWidth="1"/>
    <col min="3" max="3" width="28" customWidth="1"/>
    <col min="4" max="4" width="60" customWidth="1"/>
  </cols>
  <sheetData>
    <row r="1" spans="1:4" ht="21" x14ac:dyDescent="0.4">
      <c r="A1" s="1" t="s">
        <v>116</v>
      </c>
    </row>
    <row r="2" spans="1:4" x14ac:dyDescent="0.3">
      <c r="A2" s="2" t="s">
        <v>117</v>
      </c>
    </row>
    <row r="3" spans="1:4" x14ac:dyDescent="0.3">
      <c r="A3" s="36" t="s">
        <v>118</v>
      </c>
      <c r="B3" s="37"/>
      <c r="C3" s="37"/>
      <c r="D3" s="37"/>
    </row>
    <row r="5" spans="1:4" x14ac:dyDescent="0.3">
      <c r="A5" s="3" t="s">
        <v>119</v>
      </c>
      <c r="B5" s="3" t="s">
        <v>120</v>
      </c>
      <c r="C5" s="3" t="s">
        <v>121</v>
      </c>
      <c r="D5" s="3" t="s">
        <v>122</v>
      </c>
    </row>
    <row r="6" spans="1:4" x14ac:dyDescent="0.3">
      <c r="A6" s="23" t="s">
        <v>123</v>
      </c>
      <c r="B6" s="29">
        <v>3000</v>
      </c>
      <c r="C6" s="29">
        <v>3000</v>
      </c>
      <c r="D6" s="23" t="s">
        <v>124</v>
      </c>
    </row>
    <row r="7" spans="1:4" x14ac:dyDescent="0.3">
      <c r="A7" s="23" t="s">
        <v>125</v>
      </c>
      <c r="B7" s="29">
        <v>0</v>
      </c>
      <c r="C7" s="29">
        <v>0</v>
      </c>
      <c r="D7" s="23"/>
    </row>
    <row r="8" spans="1:4" x14ac:dyDescent="0.3">
      <c r="A8" s="23" t="s">
        <v>126</v>
      </c>
      <c r="B8" s="29">
        <v>2563</v>
      </c>
      <c r="C8" s="29">
        <v>3000</v>
      </c>
      <c r="D8" s="23"/>
    </row>
    <row r="9" spans="1:4" x14ac:dyDescent="0.3">
      <c r="A9" s="23" t="s">
        <v>127</v>
      </c>
      <c r="B9" s="29">
        <v>3000</v>
      </c>
      <c r="C9" s="29">
        <v>3000</v>
      </c>
      <c r="D9" s="23"/>
    </row>
    <row r="10" spans="1:4" x14ac:dyDescent="0.3">
      <c r="A10" s="23" t="s">
        <v>128</v>
      </c>
      <c r="B10" s="29">
        <v>707</v>
      </c>
      <c r="C10" s="29">
        <v>707</v>
      </c>
      <c r="D10" s="23"/>
    </row>
    <row r="11" spans="1:4" x14ac:dyDescent="0.3">
      <c r="A11" s="23" t="s">
        <v>129</v>
      </c>
      <c r="B11" s="29">
        <v>160</v>
      </c>
      <c r="C11" s="29">
        <v>160</v>
      </c>
      <c r="D11" s="23"/>
    </row>
    <row r="12" spans="1:4" x14ac:dyDescent="0.3">
      <c r="A12" s="23" t="s">
        <v>130</v>
      </c>
      <c r="B12" s="29">
        <v>0</v>
      </c>
      <c r="C12" s="29">
        <v>0</v>
      </c>
      <c r="D12" s="23"/>
    </row>
    <row r="13" spans="1:4" x14ac:dyDescent="0.3">
      <c r="A13" s="23" t="s">
        <v>131</v>
      </c>
      <c r="B13" s="29">
        <v>294</v>
      </c>
      <c r="C13" s="29">
        <v>294</v>
      </c>
      <c r="D13" s="23"/>
    </row>
    <row r="14" spans="1:4" x14ac:dyDescent="0.3">
      <c r="A14" s="23" t="s">
        <v>132</v>
      </c>
      <c r="B14" s="29">
        <v>210.4</v>
      </c>
      <c r="C14" s="29">
        <v>64.099999999999994</v>
      </c>
      <c r="D14" s="23" t="s">
        <v>133</v>
      </c>
    </row>
    <row r="15" spans="1:4" x14ac:dyDescent="0.3">
      <c r="A15" s="23" t="s">
        <v>134</v>
      </c>
      <c r="B15" s="29">
        <v>402.6</v>
      </c>
      <c r="C15" s="29">
        <v>116.7</v>
      </c>
      <c r="D15" s="23"/>
    </row>
    <row r="16" spans="1:4" x14ac:dyDescent="0.3">
      <c r="A16" s="23" t="s">
        <v>135</v>
      </c>
      <c r="B16" s="29">
        <v>501.9</v>
      </c>
      <c r="C16" s="29">
        <v>157.4</v>
      </c>
      <c r="D16" s="23"/>
    </row>
    <row r="17" spans="1:4" x14ac:dyDescent="0.3">
      <c r="A17" s="30" t="s">
        <v>136</v>
      </c>
      <c r="B17" s="30" t="s">
        <v>137</v>
      </c>
      <c r="C17" s="30" t="s">
        <v>138</v>
      </c>
      <c r="D17" s="30" t="s">
        <v>139</v>
      </c>
    </row>
    <row r="18" spans="1:4" x14ac:dyDescent="0.3">
      <c r="A18" s="23" t="s">
        <v>140</v>
      </c>
      <c r="B18" s="25">
        <f>1-B7/B6</f>
        <v>1</v>
      </c>
      <c r="C18" s="25">
        <f>1-C7/C6</f>
        <v>1</v>
      </c>
      <c r="D18" s="23" t="str">
        <f>"v0.1.0: "&amp;IF(B18&gt;=Window_Targets!$B$6,"yes","NO")&amp;"   v0.1.1: "&amp;IF(C18&gt;=Window_Targets!$B$6,"yes","NO")</f>
        <v>v0.1.0: yes   v0.1.1: yes</v>
      </c>
    </row>
    <row r="19" spans="1:4" x14ac:dyDescent="0.3">
      <c r="A19" s="23" t="s">
        <v>141</v>
      </c>
      <c r="B19" s="25">
        <f>B8/B9</f>
        <v>0.85433333333333328</v>
      </c>
      <c r="C19" s="25">
        <f>C8/C9</f>
        <v>1</v>
      </c>
      <c r="D19" s="23" t="str">
        <f>"v0.1.0: "&amp;IF(B19&gt;=Window_Targets!$B$7,"yes","NO")&amp;"   v0.1.1: "&amp;IF(C19&gt;=Window_Targets!$B$7,"yes","NO")</f>
        <v>v0.1.0: NO   v0.1.1: yes</v>
      </c>
    </row>
    <row r="20" spans="1:4" x14ac:dyDescent="0.3">
      <c r="A20" s="23" t="s">
        <v>142</v>
      </c>
      <c r="B20" s="25">
        <f>(B10+B11)/(B10+B11+B12)</f>
        <v>1</v>
      </c>
      <c r="C20" s="25">
        <f>(C10+C11)/(C10+C11+C12)</f>
        <v>1</v>
      </c>
      <c r="D20" s="23" t="str">
        <f>"v0.1.0: "&amp;IF(B20&gt;=Window_Targets!$B$9,"yes","NO")&amp;"   v0.1.1: "&amp;IF(C20&gt;=Window_Targets!$B$9,"yes","NO")</f>
        <v>v0.1.0: yes   v0.1.1: yes</v>
      </c>
    </row>
    <row r="22" spans="1:4" ht="75" customHeight="1" x14ac:dyDescent="0.3">
      <c r="A22" s="38" t="s">
        <v>143</v>
      </c>
      <c r="B22" s="37"/>
      <c r="C22" s="37"/>
      <c r="D22" s="37"/>
    </row>
  </sheetData>
  <mergeCells count="2">
    <mergeCell ref="A22:D22"/>
    <mergeCell ref="A3:D3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500-000001000000}">
            <xm:f>Window_Targets!$B$6</xm:f>
            <x14:dxf>
              <fill>
                <patternFill patternType="solid">
                  <fgColor rgb="FFFFC7CE"/>
                </patternFill>
              </fill>
            </x14:dxf>
          </x14:cfRule>
          <x14:cfRule type="cellIs" priority="2" operator="greaterThanOrEqual" id="{00000000-000E-0000-0500-000002000000}">
            <xm:f>Window_Targets!$B$6</xm:f>
            <x14:dxf>
              <fill>
                <patternFill patternType="solid">
                  <fgColor rgb="FFC6EFCE"/>
                </patternFill>
              </fill>
            </x14:dxf>
          </x14:cfRule>
          <xm:sqref>B18:C18</xm:sqref>
        </x14:conditionalFormatting>
        <x14:conditionalFormatting xmlns:xm="http://schemas.microsoft.com/office/excel/2006/main">
          <x14:cfRule type="cellIs" priority="3" operator="lessThan" id="{00000000-000E-0000-0500-000003000000}">
            <xm:f>Window_Targets!$B$7</xm:f>
            <x14:dxf>
              <fill>
                <patternFill patternType="solid">
                  <fgColor rgb="FFFFC7CE"/>
                </patternFill>
              </fill>
            </x14:dxf>
          </x14:cfRule>
          <x14:cfRule type="cellIs" priority="4" operator="greaterThanOrEqual" id="{00000000-000E-0000-0500-000004000000}">
            <xm:f>Window_Targets!$B$7</xm:f>
            <x14:dxf>
              <fill>
                <patternFill patternType="solid">
                  <fgColor rgb="FFC6EFCE"/>
                </patternFill>
              </fill>
            </x14:dxf>
          </x14:cfRule>
          <xm:sqref>B19:C19</xm:sqref>
        </x14:conditionalFormatting>
        <x14:conditionalFormatting xmlns:xm="http://schemas.microsoft.com/office/excel/2006/main">
          <x14:cfRule type="cellIs" priority="5" operator="lessThan" id="{00000000-000E-0000-0500-000005000000}">
            <xm:f>Window_Targets!$B$9</xm:f>
            <x14:dxf>
              <fill>
                <patternFill patternType="solid">
                  <fgColor rgb="FFFFC7CE"/>
                </patternFill>
              </fill>
            </x14:dxf>
          </x14:cfRule>
          <x14:cfRule type="cellIs" priority="6" operator="greaterThanOrEqual" id="{00000000-000E-0000-0500-000006000000}">
            <xm:f>Window_Targets!$B$9</xm:f>
            <x14:dxf>
              <fill>
                <patternFill patternType="solid">
                  <fgColor rgb="FFC6EFCE"/>
                </patternFill>
              </fill>
            </x14:dxf>
          </x14:cfRule>
          <xm:sqref>B20:C20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showGridLines="0" workbookViewId="0"/>
  </sheetViews>
  <sheetFormatPr defaultRowHeight="14.4" x14ac:dyDescent="0.3"/>
  <cols>
    <col min="1" max="1" width="20" customWidth="1"/>
    <col min="2" max="2" width="28" customWidth="1"/>
    <col min="3" max="3" width="100" customWidth="1"/>
  </cols>
  <sheetData>
    <row r="1" spans="1:3" ht="21" x14ac:dyDescent="0.4">
      <c r="A1" s="1" t="s">
        <v>144</v>
      </c>
    </row>
    <row r="2" spans="1:3" x14ac:dyDescent="0.3">
      <c r="A2" s="2" t="s">
        <v>145</v>
      </c>
    </row>
    <row r="4" spans="1:3" x14ac:dyDescent="0.3">
      <c r="A4" s="3" t="s">
        <v>7</v>
      </c>
      <c r="B4" s="3" t="s">
        <v>146</v>
      </c>
      <c r="C4" s="3" t="s">
        <v>147</v>
      </c>
    </row>
    <row r="5" spans="1:3" ht="48" customHeight="1" x14ac:dyDescent="0.3">
      <c r="A5" s="12" t="s">
        <v>148</v>
      </c>
      <c r="B5" s="31" t="s">
        <v>149</v>
      </c>
      <c r="C5" s="12" t="s">
        <v>150</v>
      </c>
    </row>
    <row r="6" spans="1:3" ht="48" customHeight="1" x14ac:dyDescent="0.3">
      <c r="A6" s="12" t="s">
        <v>151</v>
      </c>
      <c r="B6" s="32" t="s">
        <v>152</v>
      </c>
      <c r="C6" s="12" t="s">
        <v>153</v>
      </c>
    </row>
    <row r="7" spans="1:3" ht="48" customHeight="1" x14ac:dyDescent="0.3">
      <c r="A7" s="12" t="s">
        <v>154</v>
      </c>
      <c r="B7" s="33" t="s">
        <v>155</v>
      </c>
      <c r="C7" s="12" t="s">
        <v>156</v>
      </c>
    </row>
    <row r="8" spans="1:3" ht="48" customHeight="1" x14ac:dyDescent="0.3">
      <c r="A8" s="12" t="s">
        <v>157</v>
      </c>
      <c r="B8" s="33" t="s">
        <v>158</v>
      </c>
      <c r="C8" s="12" t="s">
        <v>159</v>
      </c>
    </row>
    <row r="9" spans="1:3" ht="48" customHeight="1" x14ac:dyDescent="0.3">
      <c r="A9" s="12" t="s">
        <v>160</v>
      </c>
      <c r="B9" s="33" t="s">
        <v>161</v>
      </c>
      <c r="C9" s="12" t="s">
        <v>162</v>
      </c>
    </row>
    <row r="11" spans="1:3" ht="40.049999999999997" customHeight="1" x14ac:dyDescent="0.3">
      <c r="A11" s="38" t="s">
        <v>163</v>
      </c>
      <c r="B11" s="37"/>
      <c r="C11" s="37"/>
    </row>
  </sheetData>
  <mergeCells count="1">
    <mergeCell ref="A11:C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showGridLines="0" workbookViewId="0"/>
  </sheetViews>
  <sheetFormatPr defaultRowHeight="14.4" x14ac:dyDescent="0.3"/>
  <cols>
    <col min="1" max="10" width="14" customWidth="1"/>
  </cols>
  <sheetData>
    <row r="1" spans="1:10" ht="21" x14ac:dyDescent="0.4">
      <c r="A1" s="1" t="s">
        <v>164</v>
      </c>
    </row>
    <row r="2" spans="1:10" x14ac:dyDescent="0.3">
      <c r="A2" s="2" t="s">
        <v>165</v>
      </c>
    </row>
    <row r="4" spans="1:10" ht="48" customHeight="1" x14ac:dyDescent="0.3">
      <c r="A4" s="38" t="str">
        <f>"Availability (request-based): "&amp;TEXT(Error_Budget!D6,"#,##0")&amp;" failed requests out of "&amp;TEXT(Error_Budget!C6,"#,##0")&amp;" eligible. Budget allowed "&amp;TEXT(Error_Budget!F6,"#,##0")&amp;" failures, so "&amp;TEXT(Error_Budget!H6,"0.0%")&amp;" of the budget is used -&gt; "&amp;Error_Budget!K6&amp;"."</f>
        <v>Availability (request-based): 952 failed requests out of 1,036,462 eligible. Budget allowed 1,036 failures, so 91.9% of the budget is used -&gt; FREEZE risky releases.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ht="48" customHeight="1" x14ac:dyDescent="0.3">
      <c r="A5" s="38" t="str">
        <f>"Availability (time-based): "&amp;TEXT(Error_Budget!D9,"0")&amp;" bad minutes out of an allowed "&amp;TEXT(Error_Budget!F9,"0.0")&amp;" minutes ("&amp;TEXT(Error_Budget!H9,"0.0%")&amp;" used) -&gt; "&amp;Error_Budget!K9&amp;"."</f>
        <v>Availability (time-based): 31 bad minutes out of an allowed 43.2 minutes (71.8% used) -&gt; CAUTION - extra review.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ht="48" customHeight="1" x14ac:dyDescent="0.3">
      <c r="A6" s="38" t="str">
        <f>"Latency: "&amp;TEXT(Error_Budget!D7,"#,##0")&amp;" slow requests vs. "&amp;TEXT(Error_Budget!F7,"#,##0")&amp;" allowed ("&amp;TEXT(Error_Budget!H7,"0.0%")&amp;" used) -&gt; "&amp;Error_Budget!K7&amp;". Most came from INC-202 on 19 Sep."</f>
        <v>Latency: 5,078 slow requests vs. 10,365 allowed (49.0% used) -&gt; HEALTHY. Most came from INC-202 on 19 Sep.</v>
      </c>
      <c r="B6" s="37"/>
      <c r="C6" s="37"/>
      <c r="D6" s="37"/>
      <c r="E6" s="37"/>
      <c r="F6" s="37"/>
      <c r="G6" s="37"/>
      <c r="H6" s="37"/>
      <c r="I6" s="37"/>
      <c r="J6" s="37"/>
    </row>
    <row r="7" spans="1:10" ht="48" customHeight="1" x14ac:dyDescent="0.3">
      <c r="A7" s="38" t="str">
        <f>"Submissions: "&amp;TEXT(Error_Budget!D8,"#,##0")&amp;" failed valid bookings vs. "&amp;TEXT(Error_Budget!F8,"#,##0")&amp;" allowed ("&amp;TEXT(Error_Budget!H8,"0.0%")&amp;" used) -&gt; "&amp;Error_Budget!K8&amp;"."</f>
        <v>Submissions: 189 failed valid bookings vs. 311 allowed (60.8% used) -&gt; CAUTION - extra review.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ht="48" customHeight="1" x14ac:dyDescent="0.3">
      <c r="A8" s="38" t="s">
        <v>166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ht="48" customHeight="1" x14ac:dyDescent="0.3">
      <c r="A9" s="38" t="s">
        <v>167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ht="48" customHeight="1" x14ac:dyDescent="0.3">
      <c r="A10" s="38" t="s">
        <v>168</v>
      </c>
      <c r="B10" s="37"/>
      <c r="C10" s="37"/>
      <c r="D10" s="37"/>
      <c r="E10" s="37"/>
      <c r="F10" s="37"/>
      <c r="G10" s="37"/>
      <c r="H10" s="37"/>
      <c r="I10" s="37"/>
      <c r="J10" s="37"/>
    </row>
  </sheetData>
  <mergeCells count="7">
    <mergeCell ref="A10:J10"/>
    <mergeCell ref="A5:J5"/>
    <mergeCell ref="A8:J8"/>
    <mergeCell ref="A6:J6"/>
    <mergeCell ref="A9:J9"/>
    <mergeCell ref="A4:J4"/>
    <mergeCell ref="A7:J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showGridLines="0" workbookViewId="0"/>
  </sheetViews>
  <sheetFormatPr defaultRowHeight="14.4" x14ac:dyDescent="0.3"/>
  <cols>
    <col min="1" max="1" width="46" customWidth="1"/>
    <col min="2" max="3" width="24" customWidth="1"/>
    <col min="4" max="4" width="16" customWidth="1"/>
    <col min="5" max="5" width="10" customWidth="1"/>
  </cols>
  <sheetData>
    <row r="1" spans="1:5" ht="21" x14ac:dyDescent="0.4">
      <c r="A1" s="1" t="s">
        <v>11</v>
      </c>
    </row>
    <row r="3" spans="1:5" x14ac:dyDescent="0.3">
      <c r="A3" s="7" t="s">
        <v>169</v>
      </c>
      <c r="B3" s="7" t="str">
        <f>IF(COUNTIF(E6:E40,"FAIL")=0,"ALL CHECKS PASS","CHECK FAILURES")</f>
        <v>ALL CHECKS PASS</v>
      </c>
    </row>
    <row r="5" spans="1:5" x14ac:dyDescent="0.3">
      <c r="A5" s="3" t="s">
        <v>170</v>
      </c>
      <c r="B5" s="3" t="s">
        <v>171</v>
      </c>
      <c r="C5" s="3" t="s">
        <v>172</v>
      </c>
      <c r="D5" s="3" t="s">
        <v>173</v>
      </c>
      <c r="E5" s="3" t="s">
        <v>174</v>
      </c>
    </row>
    <row r="6" spans="1:5" x14ac:dyDescent="0.3">
      <c r="A6" s="34" t="s">
        <v>175</v>
      </c>
      <c r="B6" s="34">
        <f>Window_Targets!B10</f>
        <v>43.200000000000038</v>
      </c>
      <c r="C6" s="35">
        <v>43.200000000000038</v>
      </c>
      <c r="D6" s="34">
        <f t="shared" ref="D6:D19" si="0">ABS(B6-C6)</f>
        <v>0</v>
      </c>
      <c r="E6" s="34" t="str">
        <f t="shared" ref="E6:E19" si="1">IF(D6&lt;=0.000000001,"PASS","FAIL")</f>
        <v>PASS</v>
      </c>
    </row>
    <row r="7" spans="1:5" x14ac:dyDescent="0.3">
      <c r="A7" s="34" t="s">
        <v>176</v>
      </c>
      <c r="B7" s="34">
        <f>Error_Budget!C6</f>
        <v>1036462</v>
      </c>
      <c r="C7" s="35">
        <v>1036462</v>
      </c>
      <c r="D7" s="34">
        <f t="shared" si="0"/>
        <v>0</v>
      </c>
      <c r="E7" s="34" t="str">
        <f t="shared" si="1"/>
        <v>PASS</v>
      </c>
    </row>
    <row r="8" spans="1:5" x14ac:dyDescent="0.3">
      <c r="A8" s="34" t="s">
        <v>177</v>
      </c>
      <c r="B8" s="34">
        <f>Error_Budget!D6</f>
        <v>952</v>
      </c>
      <c r="C8" s="35">
        <v>952</v>
      </c>
      <c r="D8" s="34">
        <f t="shared" si="0"/>
        <v>0</v>
      </c>
      <c r="E8" s="34" t="str">
        <f t="shared" si="1"/>
        <v>PASS</v>
      </c>
    </row>
    <row r="9" spans="1:5" x14ac:dyDescent="0.3">
      <c r="A9" s="34" t="s">
        <v>178</v>
      </c>
      <c r="B9" s="34">
        <f>Error_Budget!E6</f>
        <v>0.99908149068658569</v>
      </c>
      <c r="C9" s="35">
        <v>0.99908149068658569</v>
      </c>
      <c r="D9" s="34">
        <f t="shared" si="0"/>
        <v>0</v>
      </c>
      <c r="E9" s="34" t="str">
        <f t="shared" si="1"/>
        <v>PASS</v>
      </c>
    </row>
    <row r="10" spans="1:5" x14ac:dyDescent="0.3">
      <c r="A10" s="34" t="s">
        <v>179</v>
      </c>
      <c r="B10" s="34">
        <f>Error_Budget!F6</f>
        <v>1036.4620000000009</v>
      </c>
      <c r="C10" s="35">
        <v>1036.4620000000009</v>
      </c>
      <c r="D10" s="34">
        <f t="shared" si="0"/>
        <v>0</v>
      </c>
      <c r="E10" s="34" t="str">
        <f t="shared" si="1"/>
        <v>PASS</v>
      </c>
    </row>
    <row r="11" spans="1:5" x14ac:dyDescent="0.3">
      <c r="A11" s="34" t="s">
        <v>180</v>
      </c>
      <c r="B11" s="34">
        <f>Error_Budget!H6</f>
        <v>0.91850931341428743</v>
      </c>
      <c r="C11" s="35">
        <v>0.91850931341428743</v>
      </c>
      <c r="D11" s="34">
        <f t="shared" si="0"/>
        <v>0</v>
      </c>
      <c r="E11" s="34" t="str">
        <f t="shared" si="1"/>
        <v>PASS</v>
      </c>
    </row>
    <row r="12" spans="1:5" x14ac:dyDescent="0.3">
      <c r="A12" s="34" t="s">
        <v>181</v>
      </c>
      <c r="B12" s="34">
        <f>Error_Budget!J6</f>
        <v>8.1490686585712568E-2</v>
      </c>
      <c r="C12" s="35">
        <v>8.1490686585712568E-2</v>
      </c>
      <c r="D12" s="34">
        <f t="shared" si="0"/>
        <v>0</v>
      </c>
      <c r="E12" s="34" t="str">
        <f t="shared" si="1"/>
        <v>PASS</v>
      </c>
    </row>
    <row r="13" spans="1:5" x14ac:dyDescent="0.3">
      <c r="A13" s="34" t="s">
        <v>182</v>
      </c>
      <c r="B13" s="34">
        <f>Error_Budget!H7</f>
        <v>0.48993595520144445</v>
      </c>
      <c r="C13" s="35">
        <v>0.48993595520144451</v>
      </c>
      <c r="D13" s="34">
        <f t="shared" si="0"/>
        <v>5.5511151231257827E-17</v>
      </c>
      <c r="E13" s="34" t="str">
        <f t="shared" si="1"/>
        <v>PASS</v>
      </c>
    </row>
    <row r="14" spans="1:5" x14ac:dyDescent="0.3">
      <c r="A14" s="34" t="s">
        <v>183</v>
      </c>
      <c r="B14" s="34">
        <f>Error_Budget!H8</f>
        <v>0.60778544209155316</v>
      </c>
      <c r="C14" s="35">
        <v>0.60778544209155316</v>
      </c>
      <c r="D14" s="34">
        <f t="shared" si="0"/>
        <v>0</v>
      </c>
      <c r="E14" s="34" t="str">
        <f t="shared" si="1"/>
        <v>PASS</v>
      </c>
    </row>
    <row r="15" spans="1:5" x14ac:dyDescent="0.3">
      <c r="A15" s="34" t="s">
        <v>184</v>
      </c>
      <c r="B15" s="34">
        <f>Error_Budget!C9</f>
        <v>43200</v>
      </c>
      <c r="C15" s="35">
        <v>43200</v>
      </c>
      <c r="D15" s="34">
        <f t="shared" si="0"/>
        <v>0</v>
      </c>
      <c r="E15" s="34" t="str">
        <f t="shared" si="1"/>
        <v>PASS</v>
      </c>
    </row>
    <row r="16" spans="1:5" x14ac:dyDescent="0.3">
      <c r="A16" s="34" t="s">
        <v>185</v>
      </c>
      <c r="B16" s="34">
        <f>Error_Budget!H9</f>
        <v>0.717592592592592</v>
      </c>
      <c r="C16" s="35">
        <v>0.717592592592592</v>
      </c>
      <c r="D16" s="34">
        <f t="shared" si="0"/>
        <v>0</v>
      </c>
      <c r="E16" s="34" t="str">
        <f t="shared" si="1"/>
        <v>PASS</v>
      </c>
    </row>
    <row r="17" spans="1:5" x14ac:dyDescent="0.3">
      <c r="A17" s="34" t="s">
        <v>186</v>
      </c>
      <c r="B17" s="34">
        <f>Synthetic_Daily!M35</f>
        <v>0.91850931341428743</v>
      </c>
      <c r="C17" s="35">
        <v>0.91850931341428743</v>
      </c>
      <c r="D17" s="34">
        <f t="shared" si="0"/>
        <v>0</v>
      </c>
      <c r="E17" s="34" t="str">
        <f t="shared" si="1"/>
        <v>PASS</v>
      </c>
    </row>
    <row r="18" spans="1:5" x14ac:dyDescent="0.3">
      <c r="A18" s="34" t="s">
        <v>187</v>
      </c>
      <c r="B18" s="34">
        <f>Observed_Local!B19</f>
        <v>0.85433333333333328</v>
      </c>
      <c r="C18" s="35">
        <v>0.85433333333333328</v>
      </c>
      <c r="D18" s="34">
        <f t="shared" si="0"/>
        <v>0</v>
      </c>
      <c r="E18" s="34" t="str">
        <f t="shared" si="1"/>
        <v>PASS</v>
      </c>
    </row>
    <row r="19" spans="1:5" x14ac:dyDescent="0.3">
      <c r="A19" s="34" t="s">
        <v>188</v>
      </c>
      <c r="B19" s="34">
        <f>Observed_Local!C19</f>
        <v>1</v>
      </c>
      <c r="C19" s="35">
        <v>1</v>
      </c>
      <c r="D19" s="34">
        <f t="shared" si="0"/>
        <v>0</v>
      </c>
      <c r="E19" s="34" t="str">
        <f t="shared" si="1"/>
        <v>PASS</v>
      </c>
    </row>
  </sheetData>
  <conditionalFormatting sqref="E6:E19">
    <cfRule type="expression" dxfId="1" priority="1">
      <formula>E6="PASS"</formula>
    </cfRule>
    <cfRule type="expression" dxfId="0" priority="2">
      <formula>E6="FAIL"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Window_Targets</vt:lpstr>
      <vt:lpstr>SLI_Definitions</vt:lpstr>
      <vt:lpstr>Synthetic_Daily</vt:lpstr>
      <vt:lpstr>Error_Budget</vt:lpstr>
      <vt:lpstr>Observed_Local</vt:lpstr>
      <vt:lpstr>Error_Budget_Policy</vt:lpstr>
      <vt:lpstr>Explanation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Bishar Mohamed</cp:lastModifiedBy>
  <dcterms:created xsi:type="dcterms:W3CDTF">2026-10-17T22:01:51Z</dcterms:created>
  <dcterms:modified xsi:type="dcterms:W3CDTF">2026-10-17T22:01:58Z</dcterms:modified>
</cp:coreProperties>
</file>